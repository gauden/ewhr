
<file path=[Content_Types].xml><?xml version="1.0" encoding="utf-8"?>
<Types xmlns="http://schemas.openxmlformats.org/package/2006/content-types">
  <Default Extension="xml" ContentType="application/xml"/>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26124"/>
  <workbookPr/>
  <mc:AlternateContent xmlns:mc="http://schemas.openxmlformats.org/markup-compatibility/2006">
    <mc:Choice Requires="x15">
      <x15ac:absPath xmlns:x15ac="http://schemas.microsoft.com/office/spreadsheetml/2010/11/ac" url="/Users/gauden/Documents/dev/ewhr/ewhr/data/"/>
    </mc:Choice>
  </mc:AlternateContent>
  <bookViews>
    <workbookView xWindow="0" yWindow="460" windowWidth="25600" windowHeight="14180"/>
  </bookViews>
  <sheets>
    <sheet name="Sheet1" sheetId="1" r:id="rId1"/>
    <sheet name="vbr_edits" sheetId="3" r:id="rId2"/>
    <sheet name="comparison" sheetId="4" r:id="rId3"/>
    <sheet name="checklist" sheetId="2" r:id="rId4"/>
  </sheets>
  <calcPr calcId="0" concurrentCalc="0"/>
  <extLst>
    <ext xmlns:mx="http://schemas.microsoft.com/office/mac/excel/2008/main" uri="{7523E5D3-25F3-A5E0-1632-64F254C22452}">
      <mx:ArchID Flags="2"/>
    </ext>
  </extLst>
</workbook>
</file>

<file path=xl/calcChain.xml><?xml version="1.0" encoding="utf-8"?>
<calcChain xmlns="http://schemas.openxmlformats.org/spreadsheetml/2006/main">
  <c r="C3" i="4" l="1"/>
  <c r="D3" i="4"/>
  <c r="E3" i="4"/>
  <c r="F3" i="4"/>
  <c r="G3" i="4"/>
  <c r="H3" i="4"/>
  <c r="I3" i="4"/>
  <c r="J3" i="4"/>
  <c r="K3" i="4"/>
  <c r="L3" i="4"/>
  <c r="M3" i="4"/>
  <c r="N3" i="4"/>
  <c r="O3" i="4"/>
  <c r="P3" i="4"/>
  <c r="Q3" i="4"/>
  <c r="R3" i="4"/>
  <c r="S3" i="4"/>
  <c r="C4" i="4"/>
  <c r="D4" i="4"/>
  <c r="E4" i="4"/>
  <c r="F4" i="4"/>
  <c r="G4" i="4"/>
  <c r="H4" i="4"/>
  <c r="I4" i="4"/>
  <c r="J4" i="4"/>
  <c r="K4" i="4"/>
  <c r="L4" i="4"/>
  <c r="M4" i="4"/>
  <c r="N4" i="4"/>
  <c r="O4" i="4"/>
  <c r="P4" i="4"/>
  <c r="Q4" i="4"/>
  <c r="R4" i="4"/>
  <c r="S4" i="4"/>
  <c r="C5" i="4"/>
  <c r="D5" i="4"/>
  <c r="E5" i="4"/>
  <c r="F5" i="4"/>
  <c r="G5" i="4"/>
  <c r="H5" i="4"/>
  <c r="I5" i="4"/>
  <c r="J5" i="4"/>
  <c r="K5" i="4"/>
  <c r="L5" i="4"/>
  <c r="M5" i="4"/>
  <c r="N5" i="4"/>
  <c r="O5" i="4"/>
  <c r="P5" i="4"/>
  <c r="Q5" i="4"/>
  <c r="R5" i="4"/>
  <c r="S5" i="4"/>
  <c r="C6" i="4"/>
  <c r="D6" i="4"/>
  <c r="E6" i="4"/>
  <c r="F6" i="4"/>
  <c r="G6" i="4"/>
  <c r="H6" i="4"/>
  <c r="I6" i="4"/>
  <c r="J6" i="4"/>
  <c r="K6" i="4"/>
  <c r="L6" i="4"/>
  <c r="M6" i="4"/>
  <c r="N6" i="4"/>
  <c r="O6" i="4"/>
  <c r="P6" i="4"/>
  <c r="Q6" i="4"/>
  <c r="R6" i="4"/>
  <c r="S6" i="4"/>
  <c r="C7" i="4"/>
  <c r="D7" i="4"/>
  <c r="E7" i="4"/>
  <c r="F7" i="4"/>
  <c r="G7" i="4"/>
  <c r="H7" i="4"/>
  <c r="I7" i="4"/>
  <c r="J7" i="4"/>
  <c r="K7" i="4"/>
  <c r="L7" i="4"/>
  <c r="M7" i="4"/>
  <c r="N7" i="4"/>
  <c r="O7" i="4"/>
  <c r="P7" i="4"/>
  <c r="Q7" i="4"/>
  <c r="R7" i="4"/>
  <c r="S7" i="4"/>
  <c r="C8" i="4"/>
  <c r="D8" i="4"/>
  <c r="E8" i="4"/>
  <c r="F8" i="4"/>
  <c r="G8" i="4"/>
  <c r="H8" i="4"/>
  <c r="I8" i="4"/>
  <c r="J8" i="4"/>
  <c r="K8" i="4"/>
  <c r="L8" i="4"/>
  <c r="M8" i="4"/>
  <c r="N8" i="4"/>
  <c r="O8" i="4"/>
  <c r="P8" i="4"/>
  <c r="Q8" i="4"/>
  <c r="R8" i="4"/>
  <c r="S8" i="4"/>
  <c r="C9" i="4"/>
  <c r="D9" i="4"/>
  <c r="E9" i="4"/>
  <c r="F9" i="4"/>
  <c r="G9" i="4"/>
  <c r="H9" i="4"/>
  <c r="I9" i="4"/>
  <c r="J9" i="4"/>
  <c r="K9" i="4"/>
  <c r="L9" i="4"/>
  <c r="M9" i="4"/>
  <c r="N9" i="4"/>
  <c r="O9" i="4"/>
  <c r="P9" i="4"/>
  <c r="Q9" i="4"/>
  <c r="R9" i="4"/>
  <c r="S9" i="4"/>
  <c r="C10" i="4"/>
  <c r="D10" i="4"/>
  <c r="E10" i="4"/>
  <c r="F10" i="4"/>
  <c r="G10" i="4"/>
  <c r="H10" i="4"/>
  <c r="I10" i="4"/>
  <c r="J10" i="4"/>
  <c r="K10" i="4"/>
  <c r="L10" i="4"/>
  <c r="M10" i="4"/>
  <c r="N10" i="4"/>
  <c r="O10" i="4"/>
  <c r="P10" i="4"/>
  <c r="Q10" i="4"/>
  <c r="R10" i="4"/>
  <c r="S10" i="4"/>
  <c r="C11" i="4"/>
  <c r="D11" i="4"/>
  <c r="E11" i="4"/>
  <c r="F11" i="4"/>
  <c r="G11" i="4"/>
  <c r="H11" i="4"/>
  <c r="I11" i="4"/>
  <c r="J11" i="4"/>
  <c r="K11" i="4"/>
  <c r="L11" i="4"/>
  <c r="M11" i="4"/>
  <c r="N11" i="4"/>
  <c r="O11" i="4"/>
  <c r="P11" i="4"/>
  <c r="Q11" i="4"/>
  <c r="R11" i="4"/>
  <c r="S11" i="4"/>
  <c r="C12" i="4"/>
  <c r="D12" i="4"/>
  <c r="E12" i="4"/>
  <c r="F12" i="4"/>
  <c r="G12" i="4"/>
  <c r="H12" i="4"/>
  <c r="I12" i="4"/>
  <c r="J12" i="4"/>
  <c r="K12" i="4"/>
  <c r="L12" i="4"/>
  <c r="M12" i="4"/>
  <c r="N12" i="4"/>
  <c r="O12" i="4"/>
  <c r="P12" i="4"/>
  <c r="Q12" i="4"/>
  <c r="R12" i="4"/>
  <c r="S12" i="4"/>
  <c r="C13" i="4"/>
  <c r="D13" i="4"/>
  <c r="E13" i="4"/>
  <c r="F13" i="4"/>
  <c r="G13" i="4"/>
  <c r="H13" i="4"/>
  <c r="I13" i="4"/>
  <c r="J13" i="4"/>
  <c r="K13" i="4"/>
  <c r="L13" i="4"/>
  <c r="M13" i="4"/>
  <c r="N13" i="4"/>
  <c r="O13" i="4"/>
  <c r="P13" i="4"/>
  <c r="Q13" i="4"/>
  <c r="R13" i="4"/>
  <c r="S13" i="4"/>
  <c r="C14" i="4"/>
  <c r="D14" i="4"/>
  <c r="E14" i="4"/>
  <c r="F14" i="4"/>
  <c r="G14" i="4"/>
  <c r="H14" i="4"/>
  <c r="I14" i="4"/>
  <c r="J14" i="4"/>
  <c r="K14" i="4"/>
  <c r="L14" i="4"/>
  <c r="M14" i="4"/>
  <c r="N14" i="4"/>
  <c r="O14" i="4"/>
  <c r="P14" i="4"/>
  <c r="Q14" i="4"/>
  <c r="R14" i="4"/>
  <c r="S14" i="4"/>
  <c r="C15" i="4"/>
  <c r="D15" i="4"/>
  <c r="E15" i="4"/>
  <c r="F15" i="4"/>
  <c r="G15" i="4"/>
  <c r="H15" i="4"/>
  <c r="I15" i="4"/>
  <c r="J15" i="4"/>
  <c r="K15" i="4"/>
  <c r="L15" i="4"/>
  <c r="M15" i="4"/>
  <c r="N15" i="4"/>
  <c r="O15" i="4"/>
  <c r="P15" i="4"/>
  <c r="Q15" i="4"/>
  <c r="R15" i="4"/>
  <c r="S15" i="4"/>
  <c r="C16" i="4"/>
  <c r="D16" i="4"/>
  <c r="E16" i="4"/>
  <c r="F16" i="4"/>
  <c r="G16" i="4"/>
  <c r="H16" i="4"/>
  <c r="I16" i="4"/>
  <c r="J16" i="4"/>
  <c r="K16" i="4"/>
  <c r="L16" i="4"/>
  <c r="M16" i="4"/>
  <c r="N16" i="4"/>
  <c r="O16" i="4"/>
  <c r="P16" i="4"/>
  <c r="Q16" i="4"/>
  <c r="R16" i="4"/>
  <c r="S16" i="4"/>
  <c r="C17" i="4"/>
  <c r="D17" i="4"/>
  <c r="E17" i="4"/>
  <c r="F17" i="4"/>
  <c r="G17" i="4"/>
  <c r="H17" i="4"/>
  <c r="I17" i="4"/>
  <c r="J17" i="4"/>
  <c r="K17" i="4"/>
  <c r="L17" i="4"/>
  <c r="M17" i="4"/>
  <c r="N17" i="4"/>
  <c r="O17" i="4"/>
  <c r="P17" i="4"/>
  <c r="Q17" i="4"/>
  <c r="R17" i="4"/>
  <c r="S17" i="4"/>
  <c r="C18" i="4"/>
  <c r="D18" i="4"/>
  <c r="E18" i="4"/>
  <c r="F18" i="4"/>
  <c r="G18" i="4"/>
  <c r="H18" i="4"/>
  <c r="I18" i="4"/>
  <c r="J18" i="4"/>
  <c r="K18" i="4"/>
  <c r="L18" i="4"/>
  <c r="M18" i="4"/>
  <c r="N18" i="4"/>
  <c r="O18" i="4"/>
  <c r="P18" i="4"/>
  <c r="Q18" i="4"/>
  <c r="R18" i="4"/>
  <c r="S18" i="4"/>
  <c r="C19" i="4"/>
  <c r="D19" i="4"/>
  <c r="E19" i="4"/>
  <c r="F19" i="4"/>
  <c r="G19" i="4"/>
  <c r="H19" i="4"/>
  <c r="I19" i="4"/>
  <c r="J19" i="4"/>
  <c r="K19" i="4"/>
  <c r="L19" i="4"/>
  <c r="M19" i="4"/>
  <c r="N19" i="4"/>
  <c r="O19" i="4"/>
  <c r="P19" i="4"/>
  <c r="Q19" i="4"/>
  <c r="R19" i="4"/>
  <c r="S19" i="4"/>
  <c r="D2" i="4"/>
  <c r="E2" i="4"/>
  <c r="F2" i="4"/>
  <c r="G2" i="4"/>
  <c r="H2" i="4"/>
  <c r="I2" i="4"/>
  <c r="J2" i="4"/>
  <c r="K2" i="4"/>
  <c r="L2" i="4"/>
  <c r="M2" i="4"/>
  <c r="N2" i="4"/>
  <c r="O2" i="4"/>
  <c r="P2" i="4"/>
  <c r="Q2" i="4"/>
  <c r="R2" i="4"/>
  <c r="S2" i="4"/>
  <c r="C2" i="4"/>
  <c r="B2" i="4"/>
  <c r="B3" i="4"/>
  <c r="B4" i="4"/>
  <c r="B5" i="4"/>
  <c r="B6" i="4"/>
  <c r="B7" i="4"/>
  <c r="B8" i="4"/>
  <c r="B9" i="4"/>
  <c r="B10" i="4"/>
  <c r="B11" i="4"/>
  <c r="B12" i="4"/>
  <c r="B13" i="4"/>
  <c r="B14" i="4"/>
  <c r="B15" i="4"/>
  <c r="B16" i="4"/>
  <c r="B17" i="4"/>
  <c r="B18" i="4"/>
  <c r="B19" i="4"/>
  <c r="A3" i="4"/>
  <c r="A4" i="4"/>
  <c r="A5" i="4"/>
  <c r="A6" i="4"/>
  <c r="A7" i="4"/>
  <c r="A8" i="4"/>
  <c r="A9" i="4"/>
  <c r="A10" i="4"/>
  <c r="A11" i="4"/>
  <c r="A12" i="4"/>
  <c r="A13" i="4"/>
  <c r="A14" i="4"/>
  <c r="A15" i="4"/>
  <c r="A16" i="4"/>
  <c r="A17" i="4"/>
  <c r="A18" i="4"/>
  <c r="A19" i="4"/>
  <c r="A2" i="4"/>
  <c r="A20" i="4"/>
  <c r="B20" i="4"/>
  <c r="C20" i="4"/>
  <c r="D20" i="4"/>
  <c r="E20" i="4"/>
  <c r="F20" i="4"/>
  <c r="G20" i="4"/>
  <c r="H20" i="4"/>
  <c r="I20" i="4"/>
  <c r="J20" i="4"/>
  <c r="K20" i="4"/>
  <c r="L20" i="4"/>
  <c r="M20" i="4"/>
  <c r="N20" i="4"/>
  <c r="O20" i="4"/>
  <c r="P20" i="4"/>
  <c r="Q20" i="4"/>
  <c r="R20" i="4"/>
  <c r="S20" i="4"/>
  <c r="A21" i="4"/>
  <c r="B21" i="4"/>
  <c r="C21" i="4"/>
  <c r="D21" i="4"/>
  <c r="E21" i="4"/>
  <c r="F21" i="4"/>
  <c r="G21" i="4"/>
  <c r="H21" i="4"/>
  <c r="I21" i="4"/>
  <c r="J21" i="4"/>
  <c r="K21" i="4"/>
  <c r="L21" i="4"/>
  <c r="M21" i="4"/>
  <c r="N21" i="4"/>
  <c r="O21" i="4"/>
  <c r="P21" i="4"/>
  <c r="Q21" i="4"/>
  <c r="R21" i="4"/>
  <c r="S21" i="4"/>
  <c r="A22" i="4"/>
  <c r="B22" i="4"/>
  <c r="C22" i="4"/>
  <c r="D22" i="4"/>
  <c r="E22" i="4"/>
  <c r="F22" i="4"/>
  <c r="G22" i="4"/>
  <c r="H22" i="4"/>
  <c r="I22" i="4"/>
  <c r="J22" i="4"/>
  <c r="K22" i="4"/>
  <c r="L22" i="4"/>
  <c r="M22" i="4"/>
  <c r="N22" i="4"/>
  <c r="O22" i="4"/>
  <c r="P22" i="4"/>
  <c r="Q22" i="4"/>
  <c r="R22" i="4"/>
  <c r="S22" i="4"/>
  <c r="A23" i="4"/>
  <c r="B23" i="4"/>
  <c r="C23" i="4"/>
  <c r="D23" i="4"/>
  <c r="E23" i="4"/>
  <c r="F23" i="4"/>
  <c r="G23" i="4"/>
  <c r="H23" i="4"/>
  <c r="I23" i="4"/>
  <c r="J23" i="4"/>
  <c r="K23" i="4"/>
  <c r="L23" i="4"/>
  <c r="M23" i="4"/>
  <c r="N23" i="4"/>
  <c r="O23" i="4"/>
  <c r="P23" i="4"/>
  <c r="Q23" i="4"/>
  <c r="R23" i="4"/>
  <c r="S23" i="4"/>
  <c r="A24" i="4"/>
  <c r="B24" i="4"/>
  <c r="C24" i="4"/>
  <c r="D24" i="4"/>
  <c r="E24" i="4"/>
  <c r="F24" i="4"/>
  <c r="G24" i="4"/>
  <c r="H24" i="4"/>
  <c r="I24" i="4"/>
  <c r="J24" i="4"/>
  <c r="K24" i="4"/>
  <c r="L24" i="4"/>
  <c r="M24" i="4"/>
  <c r="N24" i="4"/>
  <c r="O24" i="4"/>
  <c r="P24" i="4"/>
  <c r="Q24" i="4"/>
  <c r="R24" i="4"/>
  <c r="S24" i="4"/>
  <c r="A25" i="4"/>
  <c r="B25" i="4"/>
  <c r="C25" i="4"/>
  <c r="D25" i="4"/>
  <c r="E25" i="4"/>
  <c r="F25" i="4"/>
  <c r="G25" i="4"/>
  <c r="H25" i="4"/>
  <c r="I25" i="4"/>
  <c r="J25" i="4"/>
  <c r="K25" i="4"/>
  <c r="L25" i="4"/>
  <c r="M25" i="4"/>
  <c r="N25" i="4"/>
  <c r="O25" i="4"/>
  <c r="P25" i="4"/>
  <c r="Q25" i="4"/>
  <c r="R25" i="4"/>
  <c r="S25" i="4"/>
</calcChain>
</file>

<file path=xl/sharedStrings.xml><?xml version="1.0" encoding="utf-8"?>
<sst xmlns="http://schemas.openxmlformats.org/spreadsheetml/2006/main" count="394" uniqueCount="167">
  <si>
    <t>fig_id</t>
  </si>
  <si>
    <t>fig_no</t>
  </si>
  <si>
    <t>draft_page_no</t>
  </si>
  <si>
    <t>subtitle</t>
  </si>
  <si>
    <t>y_label</t>
  </si>
  <si>
    <t>x_label</t>
  </si>
  <si>
    <t>ref_no</t>
  </si>
  <si>
    <t>source_label</t>
  </si>
  <si>
    <t>source_link</t>
  </si>
  <si>
    <t>source_accessed</t>
  </si>
  <si>
    <t>Beyond the mortality advantage</t>
  </si>
  <si>
    <t>http://apps.who.int/gho/data/node.main.3?lang=en</t>
  </si>
  <si>
    <t>Accessed 28 March 2015</t>
  </si>
  <si>
    <t>http://data.euro.who.int/hfadb/</t>
  </si>
  <si>
    <t>Accessed 10 July 2015</t>
  </si>
  <si>
    <t>http://vizhub.healthdata.org/irank/arrow.php</t>
  </si>
  <si>
    <t>http://reports.weforum.org/global-gender-gap-report-2014/rankings/</t>
  </si>
  <si>
    <t>United Nations Development Programme (UNDP)</t>
  </si>
  <si>
    <t>http://hdr.undp.org/en/content/labour-force-participation-rate-female-male-ratio</t>
  </si>
  <si>
    <t>Eurostat</t>
  </si>
  <si>
    <t>Accessed 16 June 2015</t>
  </si>
  <si>
    <t>Accessed 22 April 2015</t>
  </si>
  <si>
    <t>http://www.data.unicef.org/resources/the-state-of-the-world-s-children-report-2015-statistical-tables</t>
  </si>
  <si>
    <t>Accessed on 26 April 2015</t>
  </si>
  <si>
    <t>http://ec.europa.eu/eurostat/web/products-datasets/-/t2020_50</t>
  </si>
  <si>
    <t>Accessed 23 June 2015</t>
  </si>
  <si>
    <t>Global Youth Tobacco Survey (GYTS)</t>
  </si>
  <si>
    <t>Accessed 30 June 2015</t>
  </si>
  <si>
    <t>http://hdr.undp.org/en/content/table-4-gender-inequality-index</t>
  </si>
  <si>
    <t>Accessed 13 July 2015</t>
  </si>
  <si>
    <t>Accessed 31 May 2015</t>
  </si>
  <si>
    <t>High income women in Europe report better health</t>
  </si>
  <si>
    <t>http://ec.europa.eu/eurostat/web/products-datasets/-/hlth_silc_10</t>
  </si>
  <si>
    <t>Accessed 25 May 2015</t>
  </si>
  <si>
    <t>Accessed 26 May 2015</t>
  </si>
  <si>
    <t>European Union Agency for Fundamental Rights (FRA)</t>
  </si>
  <si>
    <t>http://fra.europa.eu/en/vaw-survey-results</t>
  </si>
  <si>
    <t>Accessed 09 July 2015</t>
  </si>
  <si>
    <t>title</t>
  </si>
  <si>
    <t>Gender gap in selected European countries</t>
  </si>
  <si>
    <t>Gender pay gap in 29 countries in Europe</t>
  </si>
  <si>
    <t>Opportunity for early developments for girls</t>
  </si>
  <si>
    <t>Girls at risk of poverty and social exclusion</t>
  </si>
  <si>
    <t>Tobacco smoking among adolescent girls</t>
  </si>
  <si>
    <t>Correlation between schooling and adolescent birth rate</t>
  </si>
  <si>
    <t xml:space="preserve">Adolescents accepting  wife-beating </t>
  </si>
  <si>
    <t>Unmet needs for family planning</t>
  </si>
  <si>
    <t>Emotional consequences of serious physical or sexual violence since the age of 15</t>
  </si>
  <si>
    <t>Poverty among older women</t>
  </si>
  <si>
    <t>Female life expectancy by Gross National Income</t>
  </si>
  <si>
    <t>Broad Causes of Morbidity, Mortality and Disease Burden for Women by sub-region, age group and broad causes (2010)</t>
  </si>
  <si>
    <t>Do European countries maximize the education gain?</t>
  </si>
  <si>
    <t>Self-perceived health by income in older women</t>
  </si>
  <si>
    <t>Healthy life at birth and number of years spent in ill-health for women (2012)</t>
  </si>
  <si>
    <t>Mortality and disease burden (DALYs) in females by sub-region, age group and broad causes (2010)</t>
  </si>
  <si>
    <t>Global Gender Gap for 47 Member States of the WHO European Region (2014)</t>
  </si>
  <si>
    <t>Labour Force participation rate (%) for males and females (2000-2012)</t>
  </si>
  <si>
    <t>Gender pay gap (%) in selected Member States (2013)</t>
  </si>
  <si>
    <t>Differences in adolescents in attitudes towards wife beating (2009-2013)</t>
  </si>
  <si>
    <t xml:space="preserve">Unmet needs for family planning, total, percentage (last year available) </t>
  </si>
  <si>
    <t>Countries</t>
  </si>
  <si>
    <t>Sub regions</t>
  </si>
  <si>
    <t>Percentage</t>
  </si>
  <si>
    <t>Number of years</t>
  </si>
  <si>
    <t>Deaths and DALYs</t>
  </si>
  <si>
    <t>hovermode</t>
  </si>
  <si>
    <t>x</t>
  </si>
  <si>
    <t>mkd</t>
  </si>
  <si>
    <t>footnotes</t>
  </si>
  <si>
    <t>Data on male attitudes not available for Georgia, Montenegro, Tajikistan, MKD and Turkey.
Data refer to the most recent year available during the period specified in the column heading.</t>
  </si>
  <si>
    <t>WHO  Global health observatory.</t>
  </si>
  <si>
    <t>WHO/Europe Health for All Database</t>
  </si>
  <si>
    <t>World Economic Forum (WEF). The Global Gender Gap Report (2014)</t>
  </si>
  <si>
    <t>Institute of Health Metrics and Evaluation</t>
  </si>
  <si>
    <t>isabel_comments</t>
  </si>
  <si>
    <t>I have repeated the tile in Caption, I suggest to find more catchy title for the figure and use the present title as subheading</t>
  </si>
  <si>
    <t>This figure is not included in the overview. It is referred to several times in the text.Will you produce it?</t>
  </si>
  <si>
    <t>My suggestion for having the subtitle as main title</t>
  </si>
  <si>
    <t>Are you sure you do not want to use HBSC data here, they cover 33 countries</t>
  </si>
  <si>
    <t>I have suggested changed title. The number  for MKD doesn't seem to be included in the figure. Following comment was included, but I am not sure it should be enclosed as it stands. I have made it a foot mote.  Data on male attitudes not available for Georgia, Montenegro, Tajikistan, MKD and Turkey most likely because the question is not asked of males.</t>
  </si>
  <si>
    <t>Suggest to change title to Higher income, better health.</t>
  </si>
  <si>
    <t>No additional title</t>
  </si>
  <si>
    <t>I am looking in more details into this one. According to the website the age of the reporting women are between 19 and 60+, so there seems to be some misunderstanding it the text.</t>
  </si>
  <si>
    <t>Title change proposed</t>
  </si>
  <si>
    <t>vivian_comments</t>
  </si>
  <si>
    <t>Unique identifying number in this database</t>
  </si>
  <si>
    <t>After re-arrangement in the text, this is the Figure Number in the published document</t>
  </si>
  <si>
    <t>plot_width</t>
  </si>
  <si>
    <t>plot_height</t>
  </si>
  <si>
    <t>Insert standard plot properties code</t>
  </si>
  <si>
    <t>paste plot width constant</t>
  </si>
  <si>
    <t>paste plot height</t>
  </si>
  <si>
    <t>adjust vertical or horizontal orientation</t>
  </si>
  <si>
    <t>insert hovermode property</t>
  </si>
  <si>
    <t>adjust hovermode property</t>
  </si>
  <si>
    <t>check fig_no</t>
  </si>
  <si>
    <t>check fig_id</t>
  </si>
  <si>
    <t>check x_label</t>
  </si>
  <si>
    <t>check y_label</t>
  </si>
  <si>
    <t>adjust width and height</t>
  </si>
  <si>
    <t>check legend (hide or re-position)</t>
  </si>
  <si>
    <t>check source label</t>
  </si>
  <si>
    <t>check source link</t>
  </si>
  <si>
    <t>check date accessed for source</t>
  </si>
  <si>
    <t>check footnotes</t>
  </si>
  <si>
    <t>check caption</t>
  </si>
  <si>
    <t>caption</t>
  </si>
  <si>
    <t>y</t>
  </si>
  <si>
    <t>notebook</t>
  </si>
  <si>
    <t>closest</t>
  </si>
  <si>
    <t>GNI per capita (USD, at PPP)</t>
  </si>
  <si>
    <t>Female Life Expectancy (Years)</t>
  </si>
  <si>
    <t>Female life expectancy at birth (2013) by estimated GNI PPP$ per capita (2011)</t>
  </si>
  <si>
    <t>Score (0=Inequality / 1=Equality)</t>
  </si>
  <si>
    <t>http://bit.ly/tsdsc340</t>
  </si>
  <si>
    <t>The data for the following countries is provisional - Germany, Spain, France, Croatia, Luxembourg, Poland, and Finland.  The data for Romania is estimated.</t>
  </si>
  <si>
    <t>Probability of dying before 5 years per 1000 live births</t>
  </si>
  <si>
    <t>Year</t>
  </si>
  <si>
    <t>Rate per 1000, girls and boys, WHO European Region (2000-2012)</t>
  </si>
  <si>
    <t>% of eligible population</t>
  </si>
  <si>
    <t>http://1.usa.gov/1L02Ezu</t>
  </si>
  <si>
    <t>Current smoked tobacco use, adolescents girls aged 13-15 years, in selected countries</t>
  </si>
  <si>
    <t>Prevalence (%)</t>
  </si>
  <si>
    <t>Mean years of schooling (female, 2002-2012)</t>
  </si>
  <si>
    <t>Births per 1,000 women aged 15-19 (2010/2015)</t>
  </si>
  <si>
    <t>Adolescents birth rates (2010-2015) by mean years of schooling (2002-2012)</t>
  </si>
  <si>
    <t>Quintile 1 is the lowest equivalised income (lowest 20%) and Quintile 5 is the highest equivalised income. Data for the Czech Republic, Croatia, Serbia and UK(5th quintile only) is noted as having low reliability.</t>
  </si>
  <si>
    <t>Percentage reporting bad or very-bad health (%)</t>
  </si>
  <si>
    <t>Self-reported health, women aged 18-44, by high and low income quintiles (2013)</t>
  </si>
  <si>
    <t>http://bit.ly/unmet_need_fp</t>
  </si>
  <si>
    <t>Maternal mortality ratio (deaths per 100,000 live births), 2010</t>
  </si>
  <si>
    <t>Risk of maternal mortality by Schooling (2005-2012)</t>
  </si>
  <si>
    <t>Maternal mortality ratio compared to the mean number of years in school, females, 2005-2012</t>
  </si>
  <si>
    <t>Mean Number of Years in School (Females)</t>
  </si>
  <si>
    <t>The data for Croatia, Czech Republic, Iceland, and Lithuania are of low reliability.</t>
  </si>
  <si>
    <t>Percentage of responses</t>
  </si>
  <si>
    <t>Differences in poverty risk among older women by age (2013)</t>
  </si>
  <si>
    <t>Source quoted in the references is 5. Global health observatory data repository. Life expectancy. Data by country [online database]. Geneva: World Health Organization; 2015 . Indirectly the same source, which one do you prefer?</t>
  </si>
  <si>
    <t>I have not checked this yet as the figure has to be finalized first</t>
  </si>
  <si>
    <t>Fig. 6 shows the gender pay gap in a number of European countries. This represents the difference between average gross hourly earnings of male paid employees and female paid employees as a percentage of gross hourly earnings of male paid employees.  The population consists of all paid employees in enterprises with 10 employees or more.</t>
  </si>
  <si>
    <t>Probability of dying before 5 years of age</t>
  </si>
  <si>
    <t>Have added "of age" to the main title</t>
  </si>
  <si>
    <t>Pre-primary School Participation for girls (2009-2012)</t>
  </si>
  <si>
    <t>Unicef. State of the World's Children  (2015)</t>
  </si>
  <si>
    <t>Time frame for data is 2009-12. As a lay reader it seems peculiar to have enrollment rate of more than 100%. There is not additional information in neither the main source (UNICEF) nor in Sarah's long report version. Caption information will follow when the report text has been changed</t>
  </si>
  <si>
    <t>Risk of poverty and social exclusion for girls age less than 6 years in  number of European countries (2013)</t>
  </si>
  <si>
    <t>I have changed sub title as some of the countries in the table are not EU</t>
  </si>
  <si>
    <t>I will get hold of Kristina</t>
  </si>
  <si>
    <t>Fig. 11 shows the percentage of boys and girls aged 15–19 who consider a husband to be justified in hitting or beating his wife for at least one of the following reasons: if his wife burns the food, argues with him, goes out without telling him, neglects the children or refuses sexual relations.</t>
  </si>
  <si>
    <t>http://www.data.unicef.org/corecode/uploads/document6/uploaded_pdfs/corecode/SOWC_2015_Summary_and_Tables-final_214.pdf</t>
  </si>
  <si>
    <t>The reference was wrong, the correct reference is the 2015 report, however the data plotted are not the same as in the report. The datalink  is now directly to the page in the report where the figures are. Can I change it myself?</t>
  </si>
  <si>
    <t>United Nations Statistics Division</t>
  </si>
  <si>
    <t>I have to dig further for references and links for this one. I will do that tomorrow</t>
  </si>
  <si>
    <t>Differences among women aged 65+ in European countries for self-rated health very good-good by wealth quintiles (2013)</t>
  </si>
  <si>
    <t xml:space="preserve">Fig. 16 shows that the higher the level of income, the more likely it is that women will report their health as very good or good </t>
  </si>
  <si>
    <t>Subtitle changes as there are also non EU countries in the table</t>
  </si>
  <si>
    <t>Long-term pyschological consequences of violence as a result of physical and sexual violence by a partner reported by women 60+ years in the EU</t>
  </si>
  <si>
    <t xml:space="preserve">Fig. 17 shows differences in risk for poverty or social exclusion among older women in a number of European countries in 2013 </t>
  </si>
  <si>
    <t>Number of children enrolled in pre-primary school, regardless of age, expressed as a percentage of the total number of children of official pre-primary school age.</t>
  </si>
  <si>
    <t xml:space="preserve">Fig. 2 presents data from 2012 on women’s healthy life expectancy at birth and years spent in ill health, showing that 8–12 years (average 10) are spent in ill health (5). </t>
  </si>
  <si>
    <t>The World Economic Forum Gender Index benchmarks national gender gaps in relation to economics, politics, education and health. Fig. 1 shows results for 47 countries in the Region in 2014, where a score of 0 means complete inequality and 1 complete equality (4)</t>
  </si>
  <si>
    <t>Fig. 5 shows that in 2012, only 29 countries had a labour-force participation rate greater than 50% for women aged 15+ years, compared to 47 for males (10)</t>
  </si>
  <si>
    <t>Fig. 7: Girls under 5 are less likely to die than boys (15), and the gap in male and female mortality is decreasing.</t>
  </si>
  <si>
    <t>Fig. 15 shows that unmet need for family planning in Member States for which data are available ranges from 5% to nearly 23% (58). Unmet need is defined as the percentage of women who are fertile and sexually active but are not using any means of contraception and who report that they either do not want any more children or wish to delay the next child</t>
  </si>
  <si>
    <t>Fig. 18 shows the longer-term psychological consequences of violence by a partner reported by women aged 60+ years in EU countries (67). It highlights health consequences reflected in conditions identified as broad causes of disease among women, including depression, anxiety, feeling vulnerable and having difficulty sleeping.</t>
  </si>
  <si>
    <t>Fig. 3: Links between life expectancy and income show that generally, the higher the income of the population, the longer life will be. Income alone, however, cannot explain life expectancy</t>
  </si>
  <si>
    <t>Fig. 10 shows the correlation between  adolescent birth rates and mean years of schooling for women in the Region (30). Generally, the higher the mean years of schooling, the lower the adolescent birth rate</t>
  </si>
</sst>
</file>

<file path=xl/styles.xml><?xml version="1.0" encoding="utf-8"?>
<styleSheet xmlns="http://schemas.openxmlformats.org/spreadsheetml/2006/main" xmlns:mc="http://schemas.openxmlformats.org/markup-compatibility/2006" xmlns:x14ac="http://schemas.microsoft.com/office/spreadsheetml/2009/9/ac" mc:Ignorable="x14ac">
  <fonts count="27"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2"/>
      <color theme="1"/>
      <name val="Calibri"/>
    </font>
    <font>
      <sz val="12"/>
      <name val="Calibri"/>
    </font>
    <font>
      <sz val="16"/>
      <color theme="1"/>
      <name val="Calibri"/>
      <family val="2"/>
      <scheme val="minor"/>
    </font>
    <font>
      <b/>
      <sz val="16"/>
      <color theme="1"/>
      <name val="Calibri"/>
      <scheme val="minor"/>
    </font>
    <font>
      <sz val="8"/>
      <name val="Calibri"/>
      <family val="2"/>
      <scheme val="minor"/>
    </font>
    <font>
      <u/>
      <sz val="11"/>
      <color theme="10"/>
      <name val="Calibri"/>
      <family val="2"/>
      <scheme val="minor"/>
    </font>
    <font>
      <sz val="12"/>
      <color theme="1"/>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4" fillId="0" borderId="0" applyNumberFormat="0" applyFill="0" applyBorder="0" applyAlignment="0" applyProtection="0"/>
    <xf numFmtId="0" fontId="5" fillId="0" borderId="1" applyNumberFormat="0" applyFill="0" applyAlignment="0" applyProtection="0"/>
    <xf numFmtId="0" fontId="6" fillId="0" borderId="2" applyNumberFormat="0" applyFill="0" applyAlignment="0" applyProtection="0"/>
    <xf numFmtId="0" fontId="7" fillId="0" borderId="3" applyNumberFormat="0" applyFill="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4" applyNumberFormat="0" applyAlignment="0" applyProtection="0"/>
    <xf numFmtId="0" fontId="12" fillId="6" borderId="5" applyNumberFormat="0" applyAlignment="0" applyProtection="0"/>
    <xf numFmtId="0" fontId="13" fillId="6" borderId="4" applyNumberFormat="0" applyAlignment="0" applyProtection="0"/>
    <xf numFmtId="0" fontId="14" fillId="0" borderId="6" applyNumberFormat="0" applyFill="0" applyAlignment="0" applyProtection="0"/>
    <xf numFmtId="0" fontId="15" fillId="7" borderId="7" applyNumberFormat="0" applyAlignment="0" applyProtection="0"/>
    <xf numFmtId="0" fontId="16" fillId="0" borderId="0" applyNumberFormat="0" applyFill="0" applyBorder="0" applyAlignment="0" applyProtection="0"/>
    <xf numFmtId="0" fontId="3" fillId="8" borderId="8" applyNumberFormat="0" applyFon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9" borderId="0" applyNumberFormat="0" applyBorder="0" applyAlignment="0" applyProtection="0"/>
    <xf numFmtId="0" fontId="3" fillId="10" borderId="0" applyNumberFormat="0" applyBorder="0" applyAlignment="0" applyProtection="0"/>
    <xf numFmtId="0" fontId="3" fillId="11" borderId="0" applyNumberFormat="0" applyBorder="0" applyAlignment="0" applyProtection="0"/>
    <xf numFmtId="0" fontId="19" fillId="12" borderId="0" applyNumberFormat="0" applyBorder="0" applyAlignment="0" applyProtection="0"/>
    <xf numFmtId="0" fontId="19"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19" fillId="16" borderId="0" applyNumberFormat="0" applyBorder="0" applyAlignment="0" applyProtection="0"/>
    <xf numFmtId="0" fontId="19"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19" fillId="20" borderId="0" applyNumberFormat="0" applyBorder="0" applyAlignment="0" applyProtection="0"/>
    <xf numFmtId="0" fontId="19"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19" fillId="24" borderId="0" applyNumberFormat="0" applyBorder="0" applyAlignment="0" applyProtection="0"/>
    <xf numFmtId="0" fontId="19"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19" fillId="28" borderId="0" applyNumberFormat="0" applyBorder="0" applyAlignment="0" applyProtection="0"/>
    <xf numFmtId="0" fontId="19"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19" fillId="32" borderId="0" applyNumberFormat="0" applyBorder="0" applyAlignment="0" applyProtection="0"/>
    <xf numFmtId="0" fontId="25" fillId="0" borderId="0" applyNumberFormat="0" applyFill="0" applyBorder="0" applyAlignment="0" applyProtection="0"/>
  </cellStyleXfs>
  <cellXfs count="16">
    <xf numFmtId="0" fontId="0" fillId="0" borderId="0" xfId="0"/>
    <xf numFmtId="0" fontId="0" fillId="0" borderId="0" xfId="0" applyAlignment="1"/>
    <xf numFmtId="0" fontId="2" fillId="0" borderId="0" xfId="0" applyFont="1" applyAlignment="1"/>
    <xf numFmtId="0" fontId="20" fillId="0" borderId="0" xfId="0" applyFont="1"/>
    <xf numFmtId="0" fontId="20" fillId="0" borderId="0" xfId="0" applyFont="1" applyAlignment="1"/>
    <xf numFmtId="0" fontId="21" fillId="0" borderId="0" xfId="0" applyFont="1" applyAlignment="1"/>
    <xf numFmtId="0" fontId="20" fillId="0" borderId="0" xfId="0" applyFont="1" applyFill="1" applyBorder="1" applyAlignment="1"/>
    <xf numFmtId="0" fontId="0" fillId="0" borderId="0" xfId="0" applyFont="1" applyAlignment="1"/>
    <xf numFmtId="0" fontId="22" fillId="0" borderId="0" xfId="0" applyFont="1"/>
    <xf numFmtId="0" fontId="22" fillId="0" borderId="0" xfId="0" applyFont="1" applyAlignment="1">
      <alignment horizontal="right"/>
    </xf>
    <xf numFmtId="0" fontId="22" fillId="0" borderId="0" xfId="0" applyFont="1" applyFill="1" applyAlignment="1">
      <alignment horizontal="center"/>
    </xf>
    <xf numFmtId="0" fontId="23" fillId="0" borderId="0" xfId="0" applyFont="1" applyAlignment="1">
      <alignment horizontal="center"/>
    </xf>
    <xf numFmtId="0" fontId="25" fillId="0" borderId="0" xfId="42"/>
    <xf numFmtId="0" fontId="1" fillId="0" borderId="0" xfId="0" applyFont="1" applyAlignment="1"/>
    <xf numFmtId="0" fontId="26" fillId="0" borderId="0" xfId="0" applyFont="1"/>
    <xf numFmtId="0" fontId="26" fillId="0" borderId="0" xfId="0" applyFont="1" applyAlignment="1">
      <alignment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FFD579"/>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 Id="rId8" Type="http://schemas.openxmlformats.org/officeDocument/2006/relationships/calcChain" Target="calcChain.xml"/><Relationship Id="rId1" Type="http://schemas.openxmlformats.org/officeDocument/2006/relationships/worksheet" Target="worksheets/sheet1.xml"/><Relationship Id="rId2"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reports.weforum.org/global-gender-gap-report-2014/rankings/" TargetMode="External"/><Relationship Id="rId2" Type="http://schemas.openxmlformats.org/officeDocument/2006/relationships/hyperlink" Target="http://ec.europa.eu/eurostat/web/products-datasets/-/t2020_5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3"/>
  <sheetViews>
    <sheetView tabSelected="1" workbookViewId="0">
      <selection activeCell="N2" sqref="N2:N19"/>
    </sheetView>
  </sheetViews>
  <sheetFormatPr baseColWidth="10" defaultColWidth="8.83203125" defaultRowHeight="16" x14ac:dyDescent="0.2"/>
  <cols>
    <col min="1" max="1" width="6" style="3" bestFit="1" customWidth="1"/>
    <col min="2" max="2" width="6.5" style="3" bestFit="1" customWidth="1"/>
    <col min="3" max="3" width="47" style="4" hidden="1" customWidth="1"/>
    <col min="4" max="4" width="81.5" style="3" hidden="1" customWidth="1"/>
    <col min="5" max="5" width="13.5" style="3" hidden="1" customWidth="1"/>
    <col min="6" max="6" width="13" style="4" customWidth="1"/>
    <col min="7" max="7" width="82.33203125" style="4" customWidth="1"/>
    <col min="8" max="8" width="7.5" style="4" customWidth="1"/>
    <col min="9" max="9" width="10.5" style="3" customWidth="1"/>
    <col min="10" max="10" width="18.5" style="3" customWidth="1"/>
    <col min="11" max="13" width="15.6640625" style="3" customWidth="1"/>
    <col min="14" max="14" width="11.33203125" style="3" customWidth="1"/>
    <col min="15" max="15" width="58.83203125" style="4" customWidth="1"/>
    <col min="16" max="16" width="85.83203125" style="3" bestFit="1" customWidth="1"/>
    <col min="17" max="17" width="22.33203125" style="3" bestFit="1" customWidth="1"/>
    <col min="18" max="18" width="82" style="3" bestFit="1" customWidth="1"/>
    <col min="19" max="19" width="255.83203125" style="1" bestFit="1" customWidth="1"/>
    <col min="20" max="16384" width="8.83203125" style="3"/>
  </cols>
  <sheetData>
    <row r="1" spans="1:19" x14ac:dyDescent="0.2">
      <c r="A1" s="3" t="s">
        <v>108</v>
      </c>
      <c r="B1" s="3" t="s">
        <v>1</v>
      </c>
      <c r="C1" s="4" t="s">
        <v>38</v>
      </c>
      <c r="D1" s="3" t="s">
        <v>3</v>
      </c>
      <c r="E1" s="3" t="s">
        <v>2</v>
      </c>
      <c r="F1" s="4" t="s">
        <v>68</v>
      </c>
      <c r="G1" s="4" t="s">
        <v>106</v>
      </c>
      <c r="H1" s="4" t="s">
        <v>67</v>
      </c>
      <c r="I1" s="3" t="s">
        <v>65</v>
      </c>
      <c r="J1" s="3" t="s">
        <v>4</v>
      </c>
      <c r="K1" s="3" t="s">
        <v>5</v>
      </c>
      <c r="L1" s="3" t="s">
        <v>87</v>
      </c>
      <c r="M1" s="3" t="s">
        <v>88</v>
      </c>
      <c r="N1" s="3" t="s">
        <v>6</v>
      </c>
      <c r="O1" s="3" t="s">
        <v>7</v>
      </c>
      <c r="P1" s="3" t="s">
        <v>8</v>
      </c>
      <c r="Q1" s="3" t="s">
        <v>9</v>
      </c>
      <c r="R1" s="3" t="s">
        <v>74</v>
      </c>
      <c r="S1" s="2" t="s">
        <v>84</v>
      </c>
    </row>
    <row r="2" spans="1:19" x14ac:dyDescent="0.2">
      <c r="A2" s="3">
        <v>1</v>
      </c>
      <c r="B2" s="3">
        <v>2</v>
      </c>
      <c r="C2" s="4" t="s">
        <v>10</v>
      </c>
      <c r="D2" s="3" t="s">
        <v>53</v>
      </c>
      <c r="E2" s="3">
        <v>10</v>
      </c>
      <c r="G2" s="14" t="s">
        <v>159</v>
      </c>
      <c r="H2" s="4" t="b">
        <v>1</v>
      </c>
      <c r="I2" s="3" t="s">
        <v>107</v>
      </c>
      <c r="J2" s="3" t="s">
        <v>60</v>
      </c>
      <c r="K2" s="3" t="s">
        <v>63</v>
      </c>
      <c r="L2" s="3">
        <v>960</v>
      </c>
      <c r="M2" s="3">
        <v>1000</v>
      </c>
      <c r="N2">
        <v>9999</v>
      </c>
      <c r="O2" s="4" t="s">
        <v>70</v>
      </c>
      <c r="P2" s="3" t="s">
        <v>11</v>
      </c>
      <c r="Q2" s="3" t="s">
        <v>12</v>
      </c>
    </row>
    <row r="3" spans="1:19" x14ac:dyDescent="0.2">
      <c r="A3" s="3">
        <v>2</v>
      </c>
      <c r="B3" s="3">
        <v>3</v>
      </c>
      <c r="C3" s="4" t="s">
        <v>49</v>
      </c>
      <c r="D3" s="3" t="s">
        <v>112</v>
      </c>
      <c r="E3" s="3">
        <v>11</v>
      </c>
      <c r="F3" s="5"/>
      <c r="G3" s="14" t="s">
        <v>165</v>
      </c>
      <c r="H3" s="5" t="b">
        <v>1</v>
      </c>
      <c r="I3" s="3" t="s">
        <v>109</v>
      </c>
      <c r="J3" s="3" t="s">
        <v>111</v>
      </c>
      <c r="K3" s="3" t="s">
        <v>110</v>
      </c>
      <c r="L3" s="3">
        <v>780</v>
      </c>
      <c r="M3" s="3">
        <v>900</v>
      </c>
      <c r="N3">
        <v>9999</v>
      </c>
      <c r="O3" s="4" t="s">
        <v>71</v>
      </c>
      <c r="P3" s="3" t="s">
        <v>13</v>
      </c>
      <c r="Q3" s="3" t="s">
        <v>14</v>
      </c>
      <c r="S3" s="1" t="s">
        <v>75</v>
      </c>
    </row>
    <row r="4" spans="1:19" x14ac:dyDescent="0.2">
      <c r="A4" s="3">
        <v>3</v>
      </c>
      <c r="B4" s="3">
        <v>4</v>
      </c>
      <c r="C4" s="4" t="s">
        <v>50</v>
      </c>
      <c r="D4" s="3" t="s">
        <v>54</v>
      </c>
      <c r="E4" s="3">
        <v>13</v>
      </c>
      <c r="H4" s="4" t="b">
        <v>0</v>
      </c>
      <c r="I4" s="3" t="s">
        <v>66</v>
      </c>
      <c r="J4" s="3" t="s">
        <v>61</v>
      </c>
      <c r="K4" s="3" t="s">
        <v>64</v>
      </c>
      <c r="L4" s="3">
        <v>780</v>
      </c>
      <c r="M4" s="3">
        <v>900</v>
      </c>
      <c r="N4">
        <v>9999</v>
      </c>
      <c r="O4" s="4" t="s">
        <v>73</v>
      </c>
      <c r="P4" s="3" t="s">
        <v>15</v>
      </c>
      <c r="Q4" s="3" t="s">
        <v>12</v>
      </c>
      <c r="S4" s="1" t="s">
        <v>76</v>
      </c>
    </row>
    <row r="5" spans="1:19" x14ac:dyDescent="0.2">
      <c r="A5" s="3">
        <v>4</v>
      </c>
      <c r="B5" s="3">
        <v>1</v>
      </c>
      <c r="C5" s="4" t="s">
        <v>39</v>
      </c>
      <c r="D5" s="3" t="s">
        <v>55</v>
      </c>
      <c r="E5" s="3">
        <v>15</v>
      </c>
      <c r="G5" s="14" t="s">
        <v>160</v>
      </c>
      <c r="H5" s="5" t="b">
        <v>1</v>
      </c>
      <c r="I5" s="3" t="s">
        <v>66</v>
      </c>
      <c r="J5" s="3" t="s">
        <v>113</v>
      </c>
      <c r="L5" s="3">
        <v>960</v>
      </c>
      <c r="M5" s="3">
        <v>780</v>
      </c>
      <c r="N5">
        <v>9999</v>
      </c>
      <c r="O5" s="4" t="s">
        <v>72</v>
      </c>
      <c r="P5" s="3" t="s">
        <v>16</v>
      </c>
      <c r="Q5" s="3" t="s">
        <v>12</v>
      </c>
    </row>
    <row r="6" spans="1:19" x14ac:dyDescent="0.2">
      <c r="A6" s="3">
        <v>5</v>
      </c>
      <c r="B6" s="3">
        <v>5</v>
      </c>
      <c r="C6" s="4" t="s">
        <v>51</v>
      </c>
      <c r="D6" s="3" t="s">
        <v>56</v>
      </c>
      <c r="E6" s="3">
        <v>21</v>
      </c>
      <c r="G6" s="14" t="s">
        <v>161</v>
      </c>
      <c r="H6" s="4" t="b">
        <v>0</v>
      </c>
      <c r="I6" s="3" t="s">
        <v>107</v>
      </c>
      <c r="K6" s="3" t="s">
        <v>62</v>
      </c>
      <c r="L6" s="3">
        <v>780</v>
      </c>
      <c r="M6" s="3">
        <v>900</v>
      </c>
      <c r="N6">
        <v>9999</v>
      </c>
      <c r="O6" s="3" t="s">
        <v>17</v>
      </c>
      <c r="P6" s="3" t="s">
        <v>18</v>
      </c>
      <c r="Q6" s="3" t="s">
        <v>12</v>
      </c>
      <c r="S6" s="1" t="s">
        <v>77</v>
      </c>
    </row>
    <row r="7" spans="1:19" x14ac:dyDescent="0.2">
      <c r="A7" s="3">
        <v>6</v>
      </c>
      <c r="B7" s="3">
        <v>6</v>
      </c>
      <c r="C7" s="4" t="s">
        <v>40</v>
      </c>
      <c r="D7" s="3" t="s">
        <v>57</v>
      </c>
      <c r="E7" s="3">
        <v>24</v>
      </c>
      <c r="F7" s="4" t="s">
        <v>115</v>
      </c>
      <c r="G7" s="4" t="s">
        <v>139</v>
      </c>
      <c r="H7" s="4" t="b">
        <v>0</v>
      </c>
      <c r="I7" s="3" t="s">
        <v>66</v>
      </c>
      <c r="J7" s="3" t="s">
        <v>62</v>
      </c>
      <c r="L7" s="3">
        <v>780</v>
      </c>
      <c r="M7" s="3">
        <v>900</v>
      </c>
      <c r="N7">
        <v>9999</v>
      </c>
      <c r="O7" s="4" t="s">
        <v>19</v>
      </c>
      <c r="P7" s="3" t="s">
        <v>114</v>
      </c>
      <c r="Q7" s="3" t="s">
        <v>20</v>
      </c>
    </row>
    <row r="8" spans="1:19" x14ac:dyDescent="0.2">
      <c r="A8" s="3">
        <v>7</v>
      </c>
      <c r="B8" s="3">
        <v>7</v>
      </c>
      <c r="C8" s="4" t="s">
        <v>140</v>
      </c>
      <c r="D8" s="3" t="s">
        <v>118</v>
      </c>
      <c r="E8" s="3">
        <v>32</v>
      </c>
      <c r="F8" s="6"/>
      <c r="G8" s="6" t="s">
        <v>162</v>
      </c>
      <c r="H8" s="4" t="b">
        <v>0</v>
      </c>
      <c r="I8" s="3" t="s">
        <v>66</v>
      </c>
      <c r="J8" s="3" t="s">
        <v>116</v>
      </c>
      <c r="K8" s="3" t="s">
        <v>117</v>
      </c>
      <c r="L8" s="3">
        <v>780</v>
      </c>
      <c r="M8" s="3">
        <v>900</v>
      </c>
      <c r="N8">
        <v>9999</v>
      </c>
      <c r="O8" s="4" t="s">
        <v>71</v>
      </c>
      <c r="P8" s="3" t="s">
        <v>13</v>
      </c>
      <c r="Q8" s="3" t="s">
        <v>21</v>
      </c>
    </row>
    <row r="9" spans="1:19" x14ac:dyDescent="0.2">
      <c r="A9" s="3">
        <v>8</v>
      </c>
      <c r="B9" s="3">
        <v>9</v>
      </c>
      <c r="C9" s="4" t="s">
        <v>41</v>
      </c>
      <c r="D9" s="3" t="s">
        <v>142</v>
      </c>
      <c r="E9" s="3">
        <v>39</v>
      </c>
      <c r="F9" s="6" t="s">
        <v>158</v>
      </c>
      <c r="G9" s="14"/>
      <c r="H9" s="5" t="b">
        <v>1</v>
      </c>
      <c r="I9" s="3" t="s">
        <v>66</v>
      </c>
      <c r="J9" s="3" t="s">
        <v>119</v>
      </c>
      <c r="L9" s="3">
        <v>780</v>
      </c>
      <c r="M9" s="3">
        <v>900</v>
      </c>
      <c r="N9">
        <v>9999</v>
      </c>
      <c r="O9" s="3" t="s">
        <v>143</v>
      </c>
      <c r="P9" s="3" t="s">
        <v>22</v>
      </c>
      <c r="Q9" s="3" t="s">
        <v>23</v>
      </c>
    </row>
    <row r="10" spans="1:19" x14ac:dyDescent="0.2">
      <c r="A10" s="3">
        <v>9</v>
      </c>
      <c r="B10" s="3">
        <v>8</v>
      </c>
      <c r="C10" s="4" t="s">
        <v>42</v>
      </c>
      <c r="D10" s="3" t="s">
        <v>145</v>
      </c>
      <c r="E10" s="3">
        <v>41</v>
      </c>
      <c r="H10" s="5" t="b">
        <v>1</v>
      </c>
      <c r="I10" s="3" t="s">
        <v>66</v>
      </c>
      <c r="J10" s="3" t="s">
        <v>62</v>
      </c>
      <c r="L10" s="3">
        <v>780</v>
      </c>
      <c r="M10" s="3">
        <v>640</v>
      </c>
      <c r="N10">
        <v>9999</v>
      </c>
      <c r="O10" s="4" t="s">
        <v>19</v>
      </c>
      <c r="P10" s="3" t="s">
        <v>24</v>
      </c>
      <c r="Q10" s="3" t="s">
        <v>25</v>
      </c>
    </row>
    <row r="11" spans="1:19" x14ac:dyDescent="0.2">
      <c r="A11" s="3">
        <v>10</v>
      </c>
      <c r="B11" s="3">
        <v>11</v>
      </c>
      <c r="C11" s="4" t="s">
        <v>43</v>
      </c>
      <c r="D11" s="3" t="s">
        <v>121</v>
      </c>
      <c r="E11" s="3">
        <v>50</v>
      </c>
      <c r="F11" s="6"/>
      <c r="G11" s="15"/>
      <c r="H11" s="5" t="b">
        <v>0</v>
      </c>
      <c r="I11" s="3" t="s">
        <v>66</v>
      </c>
      <c r="J11" s="3" t="s">
        <v>122</v>
      </c>
      <c r="L11" s="3">
        <v>780</v>
      </c>
      <c r="M11" s="3">
        <v>640</v>
      </c>
      <c r="N11">
        <v>9999</v>
      </c>
      <c r="O11" s="3" t="s">
        <v>26</v>
      </c>
      <c r="P11" s="3" t="s">
        <v>120</v>
      </c>
      <c r="Q11" s="3" t="s">
        <v>27</v>
      </c>
      <c r="S11" s="1" t="s">
        <v>78</v>
      </c>
    </row>
    <row r="12" spans="1:19" x14ac:dyDescent="0.2">
      <c r="A12" s="3">
        <v>11</v>
      </c>
      <c r="B12" s="3">
        <v>10</v>
      </c>
      <c r="C12" s="4" t="s">
        <v>44</v>
      </c>
      <c r="D12" s="3" t="s">
        <v>125</v>
      </c>
      <c r="E12" s="3">
        <v>56</v>
      </c>
      <c r="G12" s="4" t="s">
        <v>166</v>
      </c>
      <c r="H12" s="5" t="b">
        <v>1</v>
      </c>
      <c r="I12" s="3" t="s">
        <v>109</v>
      </c>
      <c r="J12" s="3" t="s">
        <v>124</v>
      </c>
      <c r="K12" s="3" t="s">
        <v>123</v>
      </c>
      <c r="L12" s="3">
        <v>780</v>
      </c>
      <c r="M12" s="3">
        <v>780</v>
      </c>
      <c r="N12">
        <v>9999</v>
      </c>
      <c r="O12" s="3" t="s">
        <v>17</v>
      </c>
      <c r="P12" s="3" t="s">
        <v>28</v>
      </c>
      <c r="Q12" s="3" t="s">
        <v>29</v>
      </c>
    </row>
    <row r="13" spans="1:19" x14ac:dyDescent="0.2">
      <c r="A13" s="3">
        <v>12</v>
      </c>
      <c r="B13" s="3">
        <v>12</v>
      </c>
      <c r="C13" s="4" t="s">
        <v>45</v>
      </c>
      <c r="D13" s="3" t="s">
        <v>58</v>
      </c>
      <c r="E13" s="3">
        <v>57</v>
      </c>
      <c r="F13" s="4" t="s">
        <v>69</v>
      </c>
      <c r="G13" s="4" t="s">
        <v>148</v>
      </c>
      <c r="H13" s="5" t="b">
        <v>1</v>
      </c>
      <c r="I13" s="3" t="s">
        <v>66</v>
      </c>
      <c r="J13" s="3" t="s">
        <v>62</v>
      </c>
      <c r="L13" s="3">
        <v>780</v>
      </c>
      <c r="M13" s="3">
        <v>640</v>
      </c>
      <c r="N13">
        <v>9999</v>
      </c>
      <c r="O13" s="3" t="s">
        <v>143</v>
      </c>
      <c r="P13" s="3" t="s">
        <v>149</v>
      </c>
      <c r="Q13" s="3" t="s">
        <v>30</v>
      </c>
      <c r="S13" s="1" t="s">
        <v>79</v>
      </c>
    </row>
    <row r="14" spans="1:19" x14ac:dyDescent="0.2">
      <c r="A14" s="3">
        <v>13</v>
      </c>
      <c r="B14" s="3">
        <v>13</v>
      </c>
      <c r="C14" s="4" t="s">
        <v>31</v>
      </c>
      <c r="D14" s="3" t="s">
        <v>128</v>
      </c>
      <c r="E14" s="3">
        <v>63</v>
      </c>
      <c r="F14" s="4" t="s">
        <v>126</v>
      </c>
      <c r="H14" s="4" t="b">
        <v>0</v>
      </c>
      <c r="I14" s="3" t="s">
        <v>66</v>
      </c>
      <c r="J14" s="3" t="s">
        <v>127</v>
      </c>
      <c r="L14" s="3">
        <v>780</v>
      </c>
      <c r="M14" s="3">
        <v>640</v>
      </c>
      <c r="N14">
        <v>9999</v>
      </c>
      <c r="O14" s="3" t="s">
        <v>19</v>
      </c>
      <c r="P14" s="3" t="s">
        <v>32</v>
      </c>
      <c r="Q14" s="3" t="s">
        <v>33</v>
      </c>
      <c r="S14" s="1" t="s">
        <v>80</v>
      </c>
    </row>
    <row r="15" spans="1:19" x14ac:dyDescent="0.2">
      <c r="A15" s="3">
        <v>14</v>
      </c>
      <c r="B15" s="3">
        <v>15</v>
      </c>
      <c r="C15" s="4" t="s">
        <v>46</v>
      </c>
      <c r="D15" s="3" t="s">
        <v>59</v>
      </c>
      <c r="E15" s="3">
        <v>73</v>
      </c>
      <c r="G15" s="14" t="s">
        <v>163</v>
      </c>
      <c r="H15" s="5" t="b">
        <v>1</v>
      </c>
      <c r="I15" s="3" t="s">
        <v>66</v>
      </c>
      <c r="J15" s="3" t="s">
        <v>62</v>
      </c>
      <c r="L15" s="3">
        <v>780</v>
      </c>
      <c r="M15" s="3">
        <v>640</v>
      </c>
      <c r="N15">
        <v>9999</v>
      </c>
      <c r="O15" t="s">
        <v>151</v>
      </c>
      <c r="P15" s="3" t="s">
        <v>129</v>
      </c>
      <c r="Q15" s="3" t="s">
        <v>34</v>
      </c>
    </row>
    <row r="16" spans="1:19" x14ac:dyDescent="0.2">
      <c r="A16" s="3">
        <v>15</v>
      </c>
      <c r="B16" s="3">
        <v>14</v>
      </c>
      <c r="C16" s="4" t="s">
        <v>131</v>
      </c>
      <c r="D16" s="3" t="s">
        <v>132</v>
      </c>
      <c r="E16" s="3">
        <v>78</v>
      </c>
      <c r="H16" s="5" t="b">
        <v>1</v>
      </c>
      <c r="I16" s="3" t="s">
        <v>109</v>
      </c>
      <c r="J16" s="3" t="s">
        <v>130</v>
      </c>
      <c r="K16" s="3" t="s">
        <v>133</v>
      </c>
      <c r="L16" s="3">
        <v>780</v>
      </c>
      <c r="M16" s="3">
        <v>900</v>
      </c>
      <c r="N16">
        <v>9999</v>
      </c>
      <c r="O16" s="3"/>
      <c r="S16" s="1" t="s">
        <v>81</v>
      </c>
    </row>
    <row r="17" spans="1:19" x14ac:dyDescent="0.2">
      <c r="A17" s="3">
        <v>16</v>
      </c>
      <c r="B17" s="3">
        <v>16</v>
      </c>
      <c r="C17" s="4" t="s">
        <v>52</v>
      </c>
      <c r="D17" s="3" t="s">
        <v>153</v>
      </c>
      <c r="E17" s="3">
        <v>89</v>
      </c>
      <c r="F17" s="4" t="s">
        <v>134</v>
      </c>
      <c r="G17" s="14" t="s">
        <v>154</v>
      </c>
      <c r="H17" s="4" t="b">
        <v>0</v>
      </c>
      <c r="I17" s="3" t="s">
        <v>107</v>
      </c>
      <c r="K17" s="3" t="s">
        <v>62</v>
      </c>
      <c r="L17" s="3">
        <v>780</v>
      </c>
      <c r="M17" s="3">
        <v>900</v>
      </c>
      <c r="N17">
        <v>9999</v>
      </c>
      <c r="O17" s="3" t="s">
        <v>19</v>
      </c>
      <c r="P17" s="3" t="s">
        <v>32</v>
      </c>
      <c r="Q17" s="3" t="s">
        <v>33</v>
      </c>
    </row>
    <row r="18" spans="1:19" x14ac:dyDescent="0.2">
      <c r="A18" s="3">
        <v>17</v>
      </c>
      <c r="B18" s="3">
        <v>18</v>
      </c>
      <c r="C18" s="4" t="s">
        <v>47</v>
      </c>
      <c r="D18" s="3" t="s">
        <v>156</v>
      </c>
      <c r="E18" s="3">
        <v>93</v>
      </c>
      <c r="G18" s="15" t="s">
        <v>164</v>
      </c>
      <c r="H18" s="4" t="b">
        <v>0</v>
      </c>
      <c r="I18" s="3" t="s">
        <v>66</v>
      </c>
      <c r="J18" s="3" t="s">
        <v>135</v>
      </c>
      <c r="L18" s="3">
        <v>780</v>
      </c>
      <c r="M18" s="3">
        <v>700</v>
      </c>
      <c r="N18">
        <v>9999</v>
      </c>
      <c r="O18" s="3" t="s">
        <v>35</v>
      </c>
      <c r="P18" s="3" t="s">
        <v>36</v>
      </c>
      <c r="Q18" s="3" t="s">
        <v>37</v>
      </c>
      <c r="S18" s="7" t="s">
        <v>82</v>
      </c>
    </row>
    <row r="19" spans="1:19" x14ac:dyDescent="0.2">
      <c r="A19" s="3">
        <v>18</v>
      </c>
      <c r="B19" s="3">
        <v>17</v>
      </c>
      <c r="C19" s="4" t="s">
        <v>48</v>
      </c>
      <c r="D19" s="3" t="s">
        <v>136</v>
      </c>
      <c r="E19" s="3">
        <v>97</v>
      </c>
      <c r="G19" s="14" t="s">
        <v>157</v>
      </c>
      <c r="H19" s="4" t="b">
        <v>0</v>
      </c>
      <c r="I19" s="3" t="s">
        <v>66</v>
      </c>
      <c r="J19" s="3" t="s">
        <v>62</v>
      </c>
      <c r="L19" s="3">
        <v>780</v>
      </c>
      <c r="M19" s="3">
        <v>640</v>
      </c>
      <c r="N19">
        <v>9999</v>
      </c>
      <c r="O19" s="3" t="s">
        <v>19</v>
      </c>
      <c r="P19" s="3" t="s">
        <v>24</v>
      </c>
      <c r="Q19" s="3" t="s">
        <v>25</v>
      </c>
      <c r="S19" s="1" t="s">
        <v>83</v>
      </c>
    </row>
    <row r="22" spans="1:19" x14ac:dyDescent="0.2">
      <c r="B22" s="3" t="s">
        <v>0</v>
      </c>
      <c r="C22" s="3" t="s">
        <v>85</v>
      </c>
    </row>
    <row r="23" spans="1:19" x14ac:dyDescent="0.2">
      <c r="B23" s="3" t="s">
        <v>1</v>
      </c>
      <c r="C23" s="3" t="s">
        <v>86</v>
      </c>
    </row>
  </sheetData>
  <sortState ref="A2:S19">
    <sortCondition ref="A2:A19"/>
  </sortStat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3"/>
  <sheetViews>
    <sheetView workbookViewId="0">
      <selection activeCell="N2" sqref="N2:N19"/>
    </sheetView>
  </sheetViews>
  <sheetFormatPr baseColWidth="10" defaultColWidth="8.83203125" defaultRowHeight="16" x14ac:dyDescent="0.2"/>
  <cols>
    <col min="1" max="1" width="6" style="3" bestFit="1" customWidth="1"/>
    <col min="2" max="2" width="6.5" style="3" bestFit="1" customWidth="1"/>
    <col min="3" max="3" width="47" style="4" hidden="1" customWidth="1"/>
    <col min="4" max="4" width="53.6640625" style="3" hidden="1" customWidth="1"/>
    <col min="5" max="5" width="13.5" style="3" hidden="1" customWidth="1"/>
    <col min="6" max="6" width="13" style="4" customWidth="1"/>
    <col min="7" max="7" width="87.1640625" style="4" customWidth="1"/>
    <col min="8" max="8" width="7.5" style="4" customWidth="1"/>
    <col min="9" max="9" width="10.5" style="3" customWidth="1"/>
    <col min="10" max="10" width="18.5" style="3" customWidth="1"/>
    <col min="11" max="13" width="15.6640625" style="3" customWidth="1"/>
    <col min="14" max="14" width="11.33203125" style="3" customWidth="1"/>
    <col min="15" max="15" width="52.83203125" style="4" customWidth="1"/>
    <col min="16" max="16" width="85.83203125" style="3" customWidth="1"/>
    <col min="17" max="17" width="22.33203125" style="3" customWidth="1"/>
    <col min="18" max="18" width="82" style="3" customWidth="1"/>
    <col min="19" max="19" width="18.1640625" style="1" customWidth="1"/>
    <col min="20" max="16384" width="8.83203125" style="3"/>
  </cols>
  <sheetData>
    <row r="1" spans="1:19" x14ac:dyDescent="0.2">
      <c r="A1" s="3" t="s">
        <v>108</v>
      </c>
      <c r="B1" s="3" t="s">
        <v>1</v>
      </c>
      <c r="C1" s="4" t="s">
        <v>38</v>
      </c>
      <c r="D1" s="3" t="s">
        <v>3</v>
      </c>
      <c r="E1" s="3" t="s">
        <v>2</v>
      </c>
      <c r="F1" s="4" t="s">
        <v>68</v>
      </c>
      <c r="G1" s="4" t="s">
        <v>106</v>
      </c>
      <c r="H1" s="4" t="s">
        <v>67</v>
      </c>
      <c r="I1" s="3" t="s">
        <v>65</v>
      </c>
      <c r="J1" s="3" t="s">
        <v>4</v>
      </c>
      <c r="K1" s="3" t="s">
        <v>5</v>
      </c>
      <c r="L1" s="3" t="s">
        <v>87</v>
      </c>
      <c r="M1" s="3" t="s">
        <v>88</v>
      </c>
      <c r="N1" s="3" t="s">
        <v>6</v>
      </c>
      <c r="O1" s="3" t="s">
        <v>7</v>
      </c>
      <c r="P1" s="3" t="s">
        <v>8</v>
      </c>
      <c r="Q1" s="3" t="s">
        <v>9</v>
      </c>
      <c r="R1" s="3" t="s">
        <v>74</v>
      </c>
      <c r="S1" s="13" t="s">
        <v>84</v>
      </c>
    </row>
    <row r="2" spans="1:19" x14ac:dyDescent="0.2">
      <c r="A2" s="3">
        <v>1</v>
      </c>
      <c r="B2" s="3">
        <v>2</v>
      </c>
      <c r="C2" s="4" t="s">
        <v>10</v>
      </c>
      <c r="D2" s="3" t="s">
        <v>53</v>
      </c>
      <c r="E2" s="3">
        <v>2</v>
      </c>
      <c r="G2" s="14" t="s">
        <v>159</v>
      </c>
      <c r="H2" s="4" t="b">
        <v>1</v>
      </c>
      <c r="I2" s="3" t="s">
        <v>107</v>
      </c>
      <c r="J2" s="3" t="s">
        <v>60</v>
      </c>
      <c r="K2" s="3" t="s">
        <v>63</v>
      </c>
      <c r="L2" s="3">
        <v>960</v>
      </c>
      <c r="M2" s="3">
        <v>1000</v>
      </c>
      <c r="N2">
        <v>9999</v>
      </c>
      <c r="O2" s="4" t="s">
        <v>70</v>
      </c>
      <c r="P2" s="3" t="s">
        <v>11</v>
      </c>
      <c r="Q2" s="3" t="s">
        <v>12</v>
      </c>
    </row>
    <row r="3" spans="1:19" x14ac:dyDescent="0.2">
      <c r="A3" s="3">
        <v>2</v>
      </c>
      <c r="B3" s="3">
        <v>3</v>
      </c>
      <c r="C3" s="4" t="s">
        <v>49</v>
      </c>
      <c r="D3" s="3" t="s">
        <v>112</v>
      </c>
      <c r="E3" s="3">
        <v>2</v>
      </c>
      <c r="F3" s="5"/>
      <c r="G3" s="14" t="s">
        <v>165</v>
      </c>
      <c r="H3" s="5" t="b">
        <v>1</v>
      </c>
      <c r="I3" s="3" t="s">
        <v>109</v>
      </c>
      <c r="J3" s="3" t="s">
        <v>111</v>
      </c>
      <c r="K3" s="3" t="s">
        <v>110</v>
      </c>
      <c r="L3" s="3">
        <v>780</v>
      </c>
      <c r="M3" s="3">
        <v>900</v>
      </c>
      <c r="N3">
        <v>9999</v>
      </c>
      <c r="O3" s="4" t="s">
        <v>71</v>
      </c>
      <c r="P3" s="3" t="s">
        <v>13</v>
      </c>
      <c r="Q3" s="3" t="s">
        <v>14</v>
      </c>
      <c r="S3" s="1" t="s">
        <v>137</v>
      </c>
    </row>
    <row r="4" spans="1:19" x14ac:dyDescent="0.2">
      <c r="A4" s="3">
        <v>3</v>
      </c>
      <c r="B4" s="3">
        <v>4</v>
      </c>
      <c r="C4" s="4" t="s">
        <v>50</v>
      </c>
      <c r="D4" s="3" t="s">
        <v>54</v>
      </c>
      <c r="E4" s="3">
        <v>2</v>
      </c>
      <c r="H4" s="4" t="b">
        <v>0</v>
      </c>
      <c r="I4" s="3" t="s">
        <v>66</v>
      </c>
      <c r="J4" s="3" t="s">
        <v>61</v>
      </c>
      <c r="K4" s="3" t="s">
        <v>64</v>
      </c>
      <c r="L4" s="3">
        <v>780</v>
      </c>
      <c r="M4" s="3">
        <v>900</v>
      </c>
      <c r="N4">
        <v>9999</v>
      </c>
      <c r="O4" s="4" t="s">
        <v>73</v>
      </c>
      <c r="P4" s="3" t="s">
        <v>15</v>
      </c>
      <c r="Q4" s="3" t="s">
        <v>12</v>
      </c>
      <c r="S4" s="1" t="s">
        <v>138</v>
      </c>
    </row>
    <row r="5" spans="1:19" x14ac:dyDescent="0.2">
      <c r="A5" s="3">
        <v>4</v>
      </c>
      <c r="B5" s="3">
        <v>1</v>
      </c>
      <c r="C5" s="4" t="s">
        <v>39</v>
      </c>
      <c r="D5" s="3" t="s">
        <v>55</v>
      </c>
      <c r="E5" s="3">
        <v>3</v>
      </c>
      <c r="G5" s="14" t="s">
        <v>160</v>
      </c>
      <c r="H5" s="5" t="b">
        <v>1</v>
      </c>
      <c r="I5" s="3" t="s">
        <v>66</v>
      </c>
      <c r="J5" s="3" t="s">
        <v>113</v>
      </c>
      <c r="L5" s="3">
        <v>960</v>
      </c>
      <c r="M5" s="3">
        <v>780</v>
      </c>
      <c r="N5">
        <v>9999</v>
      </c>
      <c r="O5" s="4" t="s">
        <v>72</v>
      </c>
      <c r="P5" s="12" t="s">
        <v>16</v>
      </c>
      <c r="Q5" s="3" t="s">
        <v>12</v>
      </c>
    </row>
    <row r="6" spans="1:19" x14ac:dyDescent="0.2">
      <c r="A6" s="3">
        <v>5</v>
      </c>
      <c r="B6" s="3">
        <v>5</v>
      </c>
      <c r="C6" s="4" t="s">
        <v>51</v>
      </c>
      <c r="D6" s="3" t="s">
        <v>56</v>
      </c>
      <c r="E6" s="3">
        <v>3</v>
      </c>
      <c r="G6" s="14" t="s">
        <v>161</v>
      </c>
      <c r="H6" s="4" t="b">
        <v>0</v>
      </c>
      <c r="I6" s="3" t="s">
        <v>107</v>
      </c>
      <c r="K6" s="3" t="s">
        <v>62</v>
      </c>
      <c r="L6" s="3">
        <v>780</v>
      </c>
      <c r="M6" s="3">
        <v>900</v>
      </c>
      <c r="N6">
        <v>9999</v>
      </c>
      <c r="O6" s="3" t="s">
        <v>17</v>
      </c>
      <c r="P6" s="3" t="s">
        <v>18</v>
      </c>
      <c r="Q6" s="3" t="s">
        <v>12</v>
      </c>
    </row>
    <row r="7" spans="1:19" x14ac:dyDescent="0.2">
      <c r="A7" s="3">
        <v>6</v>
      </c>
      <c r="B7" s="3">
        <v>6</v>
      </c>
      <c r="C7" s="4" t="s">
        <v>40</v>
      </c>
      <c r="D7" s="3" t="s">
        <v>57</v>
      </c>
      <c r="E7" s="3">
        <v>3</v>
      </c>
      <c r="F7" s="4" t="s">
        <v>115</v>
      </c>
      <c r="G7" s="4" t="s">
        <v>139</v>
      </c>
      <c r="H7" s="4" t="b">
        <v>0</v>
      </c>
      <c r="I7" s="3" t="s">
        <v>66</v>
      </c>
      <c r="J7" s="3" t="s">
        <v>62</v>
      </c>
      <c r="L7" s="3">
        <v>780</v>
      </c>
      <c r="M7" s="3">
        <v>900</v>
      </c>
      <c r="N7">
        <v>9999</v>
      </c>
      <c r="O7" s="4" t="s">
        <v>19</v>
      </c>
      <c r="P7" s="3" t="s">
        <v>114</v>
      </c>
      <c r="Q7" s="3" t="s">
        <v>20</v>
      </c>
    </row>
    <row r="8" spans="1:19" x14ac:dyDescent="0.2">
      <c r="A8" s="3">
        <v>7</v>
      </c>
      <c r="B8" s="3">
        <v>7</v>
      </c>
      <c r="C8" s="4" t="s">
        <v>140</v>
      </c>
      <c r="D8" s="3" t="s">
        <v>118</v>
      </c>
      <c r="E8" s="3">
        <v>5</v>
      </c>
      <c r="F8" s="6"/>
      <c r="G8" s="6" t="s">
        <v>162</v>
      </c>
      <c r="H8" s="4" t="b">
        <v>0</v>
      </c>
      <c r="I8" s="3" t="s">
        <v>66</v>
      </c>
      <c r="J8" s="3" t="s">
        <v>116</v>
      </c>
      <c r="K8" s="3" t="s">
        <v>117</v>
      </c>
      <c r="L8" s="3">
        <v>780</v>
      </c>
      <c r="M8" s="3">
        <v>900</v>
      </c>
      <c r="N8">
        <v>9999</v>
      </c>
      <c r="O8" s="4" t="s">
        <v>71</v>
      </c>
      <c r="P8" s="3" t="s">
        <v>13</v>
      </c>
      <c r="Q8" s="3" t="s">
        <v>21</v>
      </c>
      <c r="S8" s="4" t="s">
        <v>141</v>
      </c>
    </row>
    <row r="9" spans="1:19" x14ac:dyDescent="0.2">
      <c r="A9" s="3">
        <v>8</v>
      </c>
      <c r="B9" s="3">
        <v>9</v>
      </c>
      <c r="C9" s="4" t="s">
        <v>41</v>
      </c>
      <c r="D9" s="3" t="s">
        <v>142</v>
      </c>
      <c r="E9" s="3">
        <v>6</v>
      </c>
      <c r="F9" s="6" t="s">
        <v>158</v>
      </c>
      <c r="G9" s="14"/>
      <c r="H9" s="5" t="b">
        <v>1</v>
      </c>
      <c r="I9" s="3" t="s">
        <v>66</v>
      </c>
      <c r="J9" s="3" t="s">
        <v>119</v>
      </c>
      <c r="L9" s="3">
        <v>780</v>
      </c>
      <c r="M9" s="3">
        <v>900</v>
      </c>
      <c r="N9">
        <v>9999</v>
      </c>
      <c r="O9" s="3" t="s">
        <v>143</v>
      </c>
      <c r="P9" s="3" t="s">
        <v>22</v>
      </c>
      <c r="Q9" s="3" t="s">
        <v>23</v>
      </c>
      <c r="S9" s="4" t="s">
        <v>144</v>
      </c>
    </row>
    <row r="10" spans="1:19" x14ac:dyDescent="0.2">
      <c r="A10" s="3">
        <v>9</v>
      </c>
      <c r="B10" s="3">
        <v>8</v>
      </c>
      <c r="C10" s="4" t="s">
        <v>42</v>
      </c>
      <c r="D10" s="3" t="s">
        <v>145</v>
      </c>
      <c r="E10" s="3">
        <v>0</v>
      </c>
      <c r="H10" s="5" t="b">
        <v>1</v>
      </c>
      <c r="I10" s="3" t="s">
        <v>66</v>
      </c>
      <c r="J10" s="3" t="s">
        <v>62</v>
      </c>
      <c r="L10" s="3">
        <v>780</v>
      </c>
      <c r="M10" s="3">
        <v>640</v>
      </c>
      <c r="N10">
        <v>9999</v>
      </c>
      <c r="O10" s="4" t="s">
        <v>19</v>
      </c>
      <c r="P10" s="12" t="s">
        <v>24</v>
      </c>
      <c r="Q10" s="3" t="s">
        <v>25</v>
      </c>
      <c r="S10" s="4" t="s">
        <v>146</v>
      </c>
    </row>
    <row r="11" spans="1:19" x14ac:dyDescent="0.2">
      <c r="A11" s="3">
        <v>10</v>
      </c>
      <c r="B11" s="3">
        <v>11</v>
      </c>
      <c r="C11" s="4" t="s">
        <v>43</v>
      </c>
      <c r="D11" s="3" t="s">
        <v>121</v>
      </c>
      <c r="E11" s="3">
        <v>9</v>
      </c>
      <c r="F11" s="6"/>
      <c r="G11" s="15"/>
      <c r="H11" s="5" t="b">
        <v>0</v>
      </c>
      <c r="I11" s="3" t="s">
        <v>66</v>
      </c>
      <c r="J11" s="3" t="s">
        <v>122</v>
      </c>
      <c r="L11" s="3">
        <v>780</v>
      </c>
      <c r="M11" s="3">
        <v>640</v>
      </c>
      <c r="N11">
        <v>9999</v>
      </c>
      <c r="O11" s="3" t="s">
        <v>26</v>
      </c>
      <c r="P11" s="3" t="s">
        <v>120</v>
      </c>
      <c r="Q11" s="3" t="s">
        <v>27</v>
      </c>
      <c r="S11" s="1" t="s">
        <v>147</v>
      </c>
    </row>
    <row r="12" spans="1:19" x14ac:dyDescent="0.2">
      <c r="A12" s="3">
        <v>11</v>
      </c>
      <c r="B12" s="3">
        <v>10</v>
      </c>
      <c r="C12" s="4" t="s">
        <v>44</v>
      </c>
      <c r="D12" s="3" t="s">
        <v>125</v>
      </c>
      <c r="E12" s="3">
        <v>8</v>
      </c>
      <c r="G12" s="4" t="s">
        <v>166</v>
      </c>
      <c r="H12" s="5" t="b">
        <v>1</v>
      </c>
      <c r="I12" s="3" t="s">
        <v>109</v>
      </c>
      <c r="J12" s="3" t="s">
        <v>124</v>
      </c>
      <c r="K12" s="3" t="s">
        <v>123</v>
      </c>
      <c r="L12" s="3">
        <v>780</v>
      </c>
      <c r="M12" s="3">
        <v>780</v>
      </c>
      <c r="N12">
        <v>9999</v>
      </c>
      <c r="O12" s="3" t="s">
        <v>17</v>
      </c>
      <c r="P12" s="3" t="s">
        <v>28</v>
      </c>
      <c r="Q12" s="3" t="s">
        <v>29</v>
      </c>
    </row>
    <row r="13" spans="1:19" x14ac:dyDescent="0.2">
      <c r="A13" s="3">
        <v>12</v>
      </c>
      <c r="B13" s="3">
        <v>12</v>
      </c>
      <c r="C13" s="4" t="s">
        <v>45</v>
      </c>
      <c r="D13" s="3" t="s">
        <v>58</v>
      </c>
      <c r="E13" s="3">
        <v>9</v>
      </c>
      <c r="F13" s="4" t="s">
        <v>69</v>
      </c>
      <c r="G13" s="4" t="s">
        <v>148</v>
      </c>
      <c r="H13" s="5" t="b">
        <v>1</v>
      </c>
      <c r="I13" s="3" t="s">
        <v>66</v>
      </c>
      <c r="J13" s="3" t="s">
        <v>62</v>
      </c>
      <c r="L13" s="3">
        <v>780</v>
      </c>
      <c r="M13" s="3">
        <v>640</v>
      </c>
      <c r="N13">
        <v>9999</v>
      </c>
      <c r="O13" s="3" t="s">
        <v>143</v>
      </c>
      <c r="P13" s="3" t="s">
        <v>149</v>
      </c>
      <c r="Q13" s="3" t="s">
        <v>30</v>
      </c>
      <c r="S13" s="4" t="s">
        <v>150</v>
      </c>
    </row>
    <row r="14" spans="1:19" x14ac:dyDescent="0.2">
      <c r="A14" s="3">
        <v>13</v>
      </c>
      <c r="B14" s="3">
        <v>13</v>
      </c>
      <c r="C14" s="4" t="s">
        <v>31</v>
      </c>
      <c r="D14" s="3" t="s">
        <v>128</v>
      </c>
      <c r="E14" s="3">
        <v>11</v>
      </c>
      <c r="F14" s="4" t="s">
        <v>126</v>
      </c>
      <c r="H14" s="4" t="b">
        <v>0</v>
      </c>
      <c r="I14" s="3" t="s">
        <v>66</v>
      </c>
      <c r="J14" s="3" t="s">
        <v>127</v>
      </c>
      <c r="L14" s="3">
        <v>780</v>
      </c>
      <c r="M14" s="3">
        <v>640</v>
      </c>
      <c r="N14">
        <v>9999</v>
      </c>
      <c r="O14" s="3" t="s">
        <v>19</v>
      </c>
      <c r="P14" s="3" t="s">
        <v>32</v>
      </c>
      <c r="Q14" s="3" t="s">
        <v>33</v>
      </c>
      <c r="S14" s="1" t="s">
        <v>80</v>
      </c>
    </row>
    <row r="15" spans="1:19" x14ac:dyDescent="0.2">
      <c r="A15" s="3">
        <v>14</v>
      </c>
      <c r="B15" s="3">
        <v>15</v>
      </c>
      <c r="C15" s="4" t="s">
        <v>46</v>
      </c>
      <c r="D15" s="3" t="s">
        <v>59</v>
      </c>
      <c r="E15" s="3">
        <v>12</v>
      </c>
      <c r="G15" s="14" t="s">
        <v>163</v>
      </c>
      <c r="H15" s="5" t="b">
        <v>1</v>
      </c>
      <c r="I15" s="3" t="s">
        <v>66</v>
      </c>
      <c r="J15" s="3" t="s">
        <v>62</v>
      </c>
      <c r="L15" s="3">
        <v>780</v>
      </c>
      <c r="M15" s="3">
        <v>640</v>
      </c>
      <c r="N15">
        <v>9999</v>
      </c>
      <c r="O15" s="4" t="s">
        <v>151</v>
      </c>
      <c r="P15" s="3" t="s">
        <v>129</v>
      </c>
      <c r="Q15" s="3" t="s">
        <v>34</v>
      </c>
    </row>
    <row r="16" spans="1:19" x14ac:dyDescent="0.2">
      <c r="A16" s="3">
        <v>15</v>
      </c>
      <c r="B16" s="3">
        <v>14</v>
      </c>
      <c r="C16" s="4" t="s">
        <v>131</v>
      </c>
      <c r="D16" s="3" t="s">
        <v>132</v>
      </c>
      <c r="E16" s="3">
        <v>12</v>
      </c>
      <c r="H16" s="5" t="b">
        <v>1</v>
      </c>
      <c r="I16" s="3" t="s">
        <v>109</v>
      </c>
      <c r="J16" s="3" t="s">
        <v>130</v>
      </c>
      <c r="K16" s="3" t="s">
        <v>133</v>
      </c>
      <c r="L16" s="3">
        <v>780</v>
      </c>
      <c r="M16" s="3">
        <v>900</v>
      </c>
      <c r="N16">
        <v>9999</v>
      </c>
      <c r="O16" s="3"/>
      <c r="S16" s="1" t="s">
        <v>152</v>
      </c>
    </row>
    <row r="17" spans="1:19" x14ac:dyDescent="0.2">
      <c r="A17" s="3">
        <v>16</v>
      </c>
      <c r="B17" s="3">
        <v>16</v>
      </c>
      <c r="C17" s="4" t="s">
        <v>52</v>
      </c>
      <c r="D17" s="3" t="s">
        <v>153</v>
      </c>
      <c r="E17" s="3">
        <v>13</v>
      </c>
      <c r="F17" s="4" t="s">
        <v>134</v>
      </c>
      <c r="G17" s="14" t="s">
        <v>154</v>
      </c>
      <c r="H17" s="4" t="b">
        <v>0</v>
      </c>
      <c r="I17" s="3" t="s">
        <v>107</v>
      </c>
      <c r="K17" s="3" t="s">
        <v>62</v>
      </c>
      <c r="L17" s="3">
        <v>780</v>
      </c>
      <c r="M17" s="3">
        <v>900</v>
      </c>
      <c r="N17">
        <v>9999</v>
      </c>
      <c r="O17" s="3" t="s">
        <v>19</v>
      </c>
      <c r="P17" s="3" t="s">
        <v>32</v>
      </c>
      <c r="Q17" s="3" t="s">
        <v>33</v>
      </c>
      <c r="S17" s="4" t="s">
        <v>155</v>
      </c>
    </row>
    <row r="18" spans="1:19" x14ac:dyDescent="0.2">
      <c r="A18" s="3">
        <v>17</v>
      </c>
      <c r="B18" s="3">
        <v>18</v>
      </c>
      <c r="C18" s="4" t="s">
        <v>47</v>
      </c>
      <c r="D18" s="3" t="s">
        <v>156</v>
      </c>
      <c r="E18" s="3">
        <v>14</v>
      </c>
      <c r="G18" s="15" t="s">
        <v>164</v>
      </c>
      <c r="H18" s="4" t="b">
        <v>0</v>
      </c>
      <c r="I18" s="3" t="s">
        <v>66</v>
      </c>
      <c r="J18" s="3" t="s">
        <v>135</v>
      </c>
      <c r="L18" s="3">
        <v>780</v>
      </c>
      <c r="M18" s="3">
        <v>700</v>
      </c>
      <c r="N18">
        <v>9999</v>
      </c>
      <c r="O18" s="3" t="s">
        <v>35</v>
      </c>
      <c r="P18" s="3" t="s">
        <v>36</v>
      </c>
      <c r="Q18" s="3" t="s">
        <v>37</v>
      </c>
      <c r="S18" s="7"/>
    </row>
    <row r="19" spans="1:19" x14ac:dyDescent="0.2">
      <c r="A19" s="3">
        <v>18</v>
      </c>
      <c r="B19" s="3">
        <v>17</v>
      </c>
      <c r="C19" s="4" t="s">
        <v>48</v>
      </c>
      <c r="D19" s="3" t="s">
        <v>136</v>
      </c>
      <c r="E19" s="3">
        <v>13</v>
      </c>
      <c r="G19" s="14" t="s">
        <v>157</v>
      </c>
      <c r="H19" s="4" t="b">
        <v>0</v>
      </c>
      <c r="I19" s="3" t="s">
        <v>66</v>
      </c>
      <c r="J19" s="3" t="s">
        <v>62</v>
      </c>
      <c r="L19" s="3">
        <v>780</v>
      </c>
      <c r="M19" s="3">
        <v>640</v>
      </c>
      <c r="N19">
        <v>9999</v>
      </c>
      <c r="O19" s="3" t="s">
        <v>19</v>
      </c>
      <c r="P19" s="3" t="s">
        <v>24</v>
      </c>
      <c r="Q19" s="3" t="s">
        <v>25</v>
      </c>
      <c r="S19" s="1" t="s">
        <v>83</v>
      </c>
    </row>
    <row r="22" spans="1:19" x14ac:dyDescent="0.2">
      <c r="B22" s="3" t="s">
        <v>0</v>
      </c>
      <c r="C22" s="3" t="s">
        <v>85</v>
      </c>
    </row>
    <row r="23" spans="1:19" x14ac:dyDescent="0.2">
      <c r="B23" s="3" t="s">
        <v>1</v>
      </c>
      <c r="C23" s="3" t="s">
        <v>86</v>
      </c>
    </row>
  </sheetData>
  <hyperlinks>
    <hyperlink ref="P5" r:id="rId1"/>
    <hyperlink ref="P10"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5"/>
  <sheetViews>
    <sheetView workbookViewId="0">
      <selection activeCell="S22" sqref="S22"/>
    </sheetView>
  </sheetViews>
  <sheetFormatPr baseColWidth="10" defaultColWidth="7.83203125" defaultRowHeight="15" x14ac:dyDescent="0.2"/>
  <cols>
    <col min="1" max="1" width="9" bestFit="1" customWidth="1"/>
    <col min="2" max="2" width="6.1640625" bestFit="1" customWidth="1"/>
    <col min="3" max="3" width="4.33203125" bestFit="1" customWidth="1"/>
    <col min="4" max="4" width="7.1640625" bestFit="1" customWidth="1"/>
    <col min="5" max="5" width="13.1640625" bestFit="1" customWidth="1"/>
    <col min="6" max="6" width="9" bestFit="1" customWidth="1"/>
    <col min="7" max="7" width="7.1640625" bestFit="1" customWidth="1"/>
    <col min="8" max="8" width="4.6640625" bestFit="1" customWidth="1"/>
    <col min="9" max="9" width="10.5" bestFit="1" customWidth="1"/>
    <col min="10" max="11" width="6.83203125" bestFit="1" customWidth="1"/>
    <col min="12" max="12" width="10" bestFit="1" customWidth="1"/>
    <col min="13" max="13" width="10.5" bestFit="1" customWidth="1"/>
    <col min="14" max="14" width="6.5" bestFit="1" customWidth="1"/>
    <col min="15" max="15" width="11.5" bestFit="1" customWidth="1"/>
    <col min="16" max="16" width="10.33203125" bestFit="1" customWidth="1"/>
    <col min="17" max="17" width="14.83203125" bestFit="1" customWidth="1"/>
    <col min="18" max="18" width="15.33203125" bestFit="1" customWidth="1"/>
    <col min="19" max="19" width="214.6640625" bestFit="1" customWidth="1"/>
  </cols>
  <sheetData>
    <row r="1" spans="1:19" s="3" customFormat="1" ht="16" x14ac:dyDescent="0.2">
      <c r="A1" s="3" t="s">
        <v>108</v>
      </c>
      <c r="B1" s="3" t="s">
        <v>1</v>
      </c>
      <c r="C1" s="4" t="s">
        <v>38</v>
      </c>
      <c r="D1" s="3" t="s">
        <v>3</v>
      </c>
      <c r="E1" s="3" t="s">
        <v>2</v>
      </c>
      <c r="F1" s="4" t="s">
        <v>68</v>
      </c>
      <c r="G1" s="4" t="s">
        <v>106</v>
      </c>
      <c r="H1" s="4" t="s">
        <v>67</v>
      </c>
      <c r="I1" s="3" t="s">
        <v>65</v>
      </c>
      <c r="J1" s="3" t="s">
        <v>4</v>
      </c>
      <c r="K1" s="3" t="s">
        <v>5</v>
      </c>
      <c r="L1" s="3" t="s">
        <v>87</v>
      </c>
      <c r="M1" s="3" t="s">
        <v>88</v>
      </c>
      <c r="N1" s="3" t="s">
        <v>6</v>
      </c>
      <c r="O1" s="3" t="s">
        <v>7</v>
      </c>
      <c r="P1" s="3" t="s">
        <v>8</v>
      </c>
      <c r="Q1" s="3" t="s">
        <v>9</v>
      </c>
      <c r="R1" s="3" t="s">
        <v>74</v>
      </c>
      <c r="S1" s="2" t="s">
        <v>84</v>
      </c>
    </row>
    <row r="2" spans="1:19" x14ac:dyDescent="0.2">
      <c r="A2">
        <f>Sheet1!A2</f>
        <v>1</v>
      </c>
      <c r="B2">
        <f>Sheet1!B2</f>
        <v>2</v>
      </c>
      <c r="C2" t="str">
        <f>IF(Sheet1!C2&lt;&gt;vbr_edits!C2,vbr_edits!C2,"")</f>
        <v/>
      </c>
      <c r="D2" t="str">
        <f>IF(Sheet1!D2&lt;&gt;vbr_edits!D2,vbr_edits!D2,"")</f>
        <v/>
      </c>
      <c r="E2">
        <f>IF(Sheet1!E2&lt;&gt;vbr_edits!E2,vbr_edits!E2,"")</f>
        <v>2</v>
      </c>
      <c r="F2" t="str">
        <f>IF(Sheet1!F2&lt;&gt;vbr_edits!F2,vbr_edits!F2,"")</f>
        <v/>
      </c>
      <c r="G2" t="str">
        <f>IF(Sheet1!G2&lt;&gt;vbr_edits!G2,vbr_edits!G2,"")</f>
        <v/>
      </c>
      <c r="H2" t="str">
        <f>IF(Sheet1!H2&lt;&gt;vbr_edits!H2,vbr_edits!H2,"")</f>
        <v/>
      </c>
      <c r="I2" t="str">
        <f>IF(Sheet1!I2&lt;&gt;vbr_edits!I2,vbr_edits!I2,"")</f>
        <v/>
      </c>
      <c r="J2" t="str">
        <f>IF(Sheet1!J2&lt;&gt;vbr_edits!J2,vbr_edits!J2,"")</f>
        <v/>
      </c>
      <c r="K2" t="str">
        <f>IF(Sheet1!K2&lt;&gt;vbr_edits!K2,vbr_edits!K2,"")</f>
        <v/>
      </c>
      <c r="L2" t="str">
        <f>IF(Sheet1!L2&lt;&gt;vbr_edits!L2,vbr_edits!L2,"")</f>
        <v/>
      </c>
      <c r="M2" t="str">
        <f>IF(Sheet1!M2&lt;&gt;vbr_edits!M2,vbr_edits!M2,"")</f>
        <v/>
      </c>
      <c r="N2" t="str">
        <f>IF(Sheet1!N2&lt;&gt;vbr_edits!N2,vbr_edits!N2,"")</f>
        <v/>
      </c>
      <c r="O2" t="str">
        <f>IF(Sheet1!O2&lt;&gt;vbr_edits!O2,vbr_edits!O2,"")</f>
        <v/>
      </c>
      <c r="P2" t="str">
        <f>IF(Sheet1!P2&lt;&gt;vbr_edits!P2,vbr_edits!P2,"")</f>
        <v/>
      </c>
      <c r="Q2" t="str">
        <f>IF(Sheet1!Q2&lt;&gt;vbr_edits!Q2,vbr_edits!Q2,"")</f>
        <v/>
      </c>
      <c r="R2" t="str">
        <f>IF(Sheet1!R2&lt;&gt;vbr_edits!R2,vbr_edits!R2,"")</f>
        <v/>
      </c>
      <c r="S2" t="str">
        <f>IF(Sheet1!S2&lt;&gt;vbr_edits!S2,vbr_edits!S2,"")</f>
        <v/>
      </c>
    </row>
    <row r="3" spans="1:19" x14ac:dyDescent="0.2">
      <c r="A3">
        <f>Sheet1!A3</f>
        <v>2</v>
      </c>
      <c r="B3">
        <f>Sheet1!B3</f>
        <v>3</v>
      </c>
      <c r="C3" t="str">
        <f>IF(Sheet1!C3&lt;&gt;vbr_edits!C3,vbr_edits!C3,"")</f>
        <v/>
      </c>
      <c r="D3" t="str">
        <f>IF(Sheet1!D3&lt;&gt;vbr_edits!D3,vbr_edits!D3,"")</f>
        <v/>
      </c>
      <c r="E3">
        <f>IF(Sheet1!E3&lt;&gt;vbr_edits!E3,vbr_edits!E3,"")</f>
        <v>2</v>
      </c>
      <c r="F3" t="str">
        <f>IF(Sheet1!F3&lt;&gt;vbr_edits!F3,vbr_edits!F3,"")</f>
        <v/>
      </c>
      <c r="G3" t="str">
        <f>IF(Sheet1!G3&lt;&gt;vbr_edits!G3,vbr_edits!G3,"")</f>
        <v/>
      </c>
      <c r="H3" t="str">
        <f>IF(Sheet1!H3&lt;&gt;vbr_edits!H3,vbr_edits!H3,"")</f>
        <v/>
      </c>
      <c r="I3" t="str">
        <f>IF(Sheet1!I3&lt;&gt;vbr_edits!I3,vbr_edits!I3,"")</f>
        <v/>
      </c>
      <c r="J3" t="str">
        <f>IF(Sheet1!J3&lt;&gt;vbr_edits!J3,vbr_edits!J3,"")</f>
        <v/>
      </c>
      <c r="K3" t="str">
        <f>IF(Sheet1!K3&lt;&gt;vbr_edits!K3,vbr_edits!K3,"")</f>
        <v/>
      </c>
      <c r="L3" t="str">
        <f>IF(Sheet1!L3&lt;&gt;vbr_edits!L3,vbr_edits!L3,"")</f>
        <v/>
      </c>
      <c r="M3" t="str">
        <f>IF(Sheet1!M3&lt;&gt;vbr_edits!M3,vbr_edits!M3,"")</f>
        <v/>
      </c>
      <c r="N3" t="str">
        <f>IF(Sheet1!N3&lt;&gt;vbr_edits!N3,vbr_edits!N3,"")</f>
        <v/>
      </c>
      <c r="O3" t="str">
        <f>IF(Sheet1!O3&lt;&gt;vbr_edits!O3,vbr_edits!O3,"")</f>
        <v/>
      </c>
      <c r="P3" t="str">
        <f>IF(Sheet1!P3&lt;&gt;vbr_edits!P3,vbr_edits!P3,"")</f>
        <v/>
      </c>
      <c r="Q3" t="str">
        <f>IF(Sheet1!Q3&lt;&gt;vbr_edits!Q3,vbr_edits!Q3,"")</f>
        <v/>
      </c>
      <c r="R3" t="str">
        <f>IF(Sheet1!R3&lt;&gt;vbr_edits!R3,vbr_edits!R3,"")</f>
        <v/>
      </c>
      <c r="S3" t="str">
        <f>IF(Sheet1!S3&lt;&gt;vbr_edits!S3,vbr_edits!S3,"")</f>
        <v>Source quoted in the references is 5. Global health observatory data repository. Life expectancy. Data by country [online database]. Geneva: World Health Organization; 2015 . Indirectly the same source, which one do you prefer?</v>
      </c>
    </row>
    <row r="4" spans="1:19" x14ac:dyDescent="0.2">
      <c r="A4">
        <f>Sheet1!A4</f>
        <v>3</v>
      </c>
      <c r="B4">
        <f>Sheet1!B4</f>
        <v>4</v>
      </c>
      <c r="C4" t="str">
        <f>IF(Sheet1!C4&lt;&gt;vbr_edits!C4,vbr_edits!C4,"")</f>
        <v/>
      </c>
      <c r="D4" t="str">
        <f>IF(Sheet1!D4&lt;&gt;vbr_edits!D4,vbr_edits!D4,"")</f>
        <v/>
      </c>
      <c r="E4">
        <f>IF(Sheet1!E4&lt;&gt;vbr_edits!E4,vbr_edits!E4,"")</f>
        <v>2</v>
      </c>
      <c r="F4" t="str">
        <f>IF(Sheet1!F4&lt;&gt;vbr_edits!F4,vbr_edits!F4,"")</f>
        <v/>
      </c>
      <c r="G4" t="str">
        <f>IF(Sheet1!G4&lt;&gt;vbr_edits!G4,vbr_edits!G4,"")</f>
        <v/>
      </c>
      <c r="H4" t="str">
        <f>IF(Sheet1!H4&lt;&gt;vbr_edits!H4,vbr_edits!H4,"")</f>
        <v/>
      </c>
      <c r="I4" t="str">
        <f>IF(Sheet1!I4&lt;&gt;vbr_edits!I4,vbr_edits!I4,"")</f>
        <v/>
      </c>
      <c r="J4" t="str">
        <f>IF(Sheet1!J4&lt;&gt;vbr_edits!J4,vbr_edits!J4,"")</f>
        <v/>
      </c>
      <c r="K4" t="str">
        <f>IF(Sheet1!K4&lt;&gt;vbr_edits!K4,vbr_edits!K4,"")</f>
        <v/>
      </c>
      <c r="L4" t="str">
        <f>IF(Sheet1!L4&lt;&gt;vbr_edits!L4,vbr_edits!L4,"")</f>
        <v/>
      </c>
      <c r="M4" t="str">
        <f>IF(Sheet1!M4&lt;&gt;vbr_edits!M4,vbr_edits!M4,"")</f>
        <v/>
      </c>
      <c r="N4" t="str">
        <f>IF(Sheet1!N4&lt;&gt;vbr_edits!N4,vbr_edits!N4,"")</f>
        <v/>
      </c>
      <c r="O4" t="str">
        <f>IF(Sheet1!O4&lt;&gt;vbr_edits!O4,vbr_edits!O4,"")</f>
        <v/>
      </c>
      <c r="P4" t="str">
        <f>IF(Sheet1!P4&lt;&gt;vbr_edits!P4,vbr_edits!P4,"")</f>
        <v/>
      </c>
      <c r="Q4" t="str">
        <f>IF(Sheet1!Q4&lt;&gt;vbr_edits!Q4,vbr_edits!Q4,"")</f>
        <v/>
      </c>
      <c r="R4" t="str">
        <f>IF(Sheet1!R4&lt;&gt;vbr_edits!R4,vbr_edits!R4,"")</f>
        <v/>
      </c>
      <c r="S4" t="str">
        <f>IF(Sheet1!S4&lt;&gt;vbr_edits!S4,vbr_edits!S4,"")</f>
        <v>I have not checked this yet as the figure has to be finalized first</v>
      </c>
    </row>
    <row r="5" spans="1:19" x14ac:dyDescent="0.2">
      <c r="A5">
        <f>Sheet1!A5</f>
        <v>4</v>
      </c>
      <c r="B5">
        <f>Sheet1!B5</f>
        <v>1</v>
      </c>
      <c r="C5" t="str">
        <f>IF(Sheet1!C5&lt;&gt;vbr_edits!C5,vbr_edits!C5,"")</f>
        <v/>
      </c>
      <c r="D5" t="str">
        <f>IF(Sheet1!D5&lt;&gt;vbr_edits!D5,vbr_edits!D5,"")</f>
        <v/>
      </c>
      <c r="E5">
        <f>IF(Sheet1!E5&lt;&gt;vbr_edits!E5,vbr_edits!E5,"")</f>
        <v>3</v>
      </c>
      <c r="F5" t="str">
        <f>IF(Sheet1!F5&lt;&gt;vbr_edits!F5,vbr_edits!F5,"")</f>
        <v/>
      </c>
      <c r="G5" t="str">
        <f>IF(Sheet1!G5&lt;&gt;vbr_edits!G5,vbr_edits!G5,"")</f>
        <v/>
      </c>
      <c r="H5" t="str">
        <f>IF(Sheet1!H5&lt;&gt;vbr_edits!H5,vbr_edits!H5,"")</f>
        <v/>
      </c>
      <c r="I5" t="str">
        <f>IF(Sheet1!I5&lt;&gt;vbr_edits!I5,vbr_edits!I5,"")</f>
        <v/>
      </c>
      <c r="J5" t="str">
        <f>IF(Sheet1!J5&lt;&gt;vbr_edits!J5,vbr_edits!J5,"")</f>
        <v/>
      </c>
      <c r="K5" t="str">
        <f>IF(Sheet1!K5&lt;&gt;vbr_edits!K5,vbr_edits!K5,"")</f>
        <v/>
      </c>
      <c r="L5" t="str">
        <f>IF(Sheet1!L5&lt;&gt;vbr_edits!L5,vbr_edits!L5,"")</f>
        <v/>
      </c>
      <c r="M5" t="str">
        <f>IF(Sheet1!M5&lt;&gt;vbr_edits!M5,vbr_edits!M5,"")</f>
        <v/>
      </c>
      <c r="N5" t="str">
        <f>IF(Sheet1!N5&lt;&gt;vbr_edits!N5,vbr_edits!N5,"")</f>
        <v/>
      </c>
      <c r="O5" t="str">
        <f>IF(Sheet1!O5&lt;&gt;vbr_edits!O5,vbr_edits!O5,"")</f>
        <v/>
      </c>
      <c r="P5" t="str">
        <f>IF(Sheet1!P5&lt;&gt;vbr_edits!P5,vbr_edits!P5,"")</f>
        <v/>
      </c>
      <c r="Q5" t="str">
        <f>IF(Sheet1!Q5&lt;&gt;vbr_edits!Q5,vbr_edits!Q5,"")</f>
        <v/>
      </c>
      <c r="R5" t="str">
        <f>IF(Sheet1!R5&lt;&gt;vbr_edits!R5,vbr_edits!R5,"")</f>
        <v/>
      </c>
      <c r="S5" t="str">
        <f>IF(Sheet1!S5&lt;&gt;vbr_edits!S5,vbr_edits!S5,"")</f>
        <v/>
      </c>
    </row>
    <row r="6" spans="1:19" x14ac:dyDescent="0.2">
      <c r="A6">
        <f>Sheet1!A6</f>
        <v>5</v>
      </c>
      <c r="B6">
        <f>Sheet1!B6</f>
        <v>5</v>
      </c>
      <c r="C6" t="str">
        <f>IF(Sheet1!C6&lt;&gt;vbr_edits!C6,vbr_edits!C6,"")</f>
        <v/>
      </c>
      <c r="D6" t="str">
        <f>IF(Sheet1!D6&lt;&gt;vbr_edits!D6,vbr_edits!D6,"")</f>
        <v/>
      </c>
      <c r="E6">
        <f>IF(Sheet1!E6&lt;&gt;vbr_edits!E6,vbr_edits!E6,"")</f>
        <v>3</v>
      </c>
      <c r="F6" t="str">
        <f>IF(Sheet1!F6&lt;&gt;vbr_edits!F6,vbr_edits!F6,"")</f>
        <v/>
      </c>
      <c r="G6" t="str">
        <f>IF(Sheet1!G6&lt;&gt;vbr_edits!G6,vbr_edits!G6,"")</f>
        <v/>
      </c>
      <c r="H6" t="str">
        <f>IF(Sheet1!H6&lt;&gt;vbr_edits!H6,vbr_edits!H6,"")</f>
        <v/>
      </c>
      <c r="I6" t="str">
        <f>IF(Sheet1!I6&lt;&gt;vbr_edits!I6,vbr_edits!I6,"")</f>
        <v/>
      </c>
      <c r="J6" t="str">
        <f>IF(Sheet1!J6&lt;&gt;vbr_edits!J6,vbr_edits!J6,"")</f>
        <v/>
      </c>
      <c r="K6" t="str">
        <f>IF(Sheet1!K6&lt;&gt;vbr_edits!K6,vbr_edits!K6,"")</f>
        <v/>
      </c>
      <c r="L6" t="str">
        <f>IF(Sheet1!L6&lt;&gt;vbr_edits!L6,vbr_edits!L6,"")</f>
        <v/>
      </c>
      <c r="M6" t="str">
        <f>IF(Sheet1!M6&lt;&gt;vbr_edits!M6,vbr_edits!M6,"")</f>
        <v/>
      </c>
      <c r="N6" t="str">
        <f>IF(Sheet1!N6&lt;&gt;vbr_edits!N6,vbr_edits!N6,"")</f>
        <v/>
      </c>
      <c r="O6" t="str">
        <f>IF(Sheet1!O6&lt;&gt;vbr_edits!O6,vbr_edits!O6,"")</f>
        <v/>
      </c>
      <c r="P6" t="str">
        <f>IF(Sheet1!P6&lt;&gt;vbr_edits!P6,vbr_edits!P6,"")</f>
        <v/>
      </c>
      <c r="Q6" t="str">
        <f>IF(Sheet1!Q6&lt;&gt;vbr_edits!Q6,vbr_edits!Q6,"")</f>
        <v/>
      </c>
      <c r="R6" t="str">
        <f>IF(Sheet1!R6&lt;&gt;vbr_edits!R6,vbr_edits!R6,"")</f>
        <v/>
      </c>
      <c r="S6">
        <f>IF(Sheet1!S6&lt;&gt;vbr_edits!S6,vbr_edits!S6,"")</f>
        <v>0</v>
      </c>
    </row>
    <row r="7" spans="1:19" x14ac:dyDescent="0.2">
      <c r="A7">
        <f>Sheet1!A7</f>
        <v>6</v>
      </c>
      <c r="B7">
        <f>Sheet1!B7</f>
        <v>6</v>
      </c>
      <c r="C7" t="str">
        <f>IF(Sheet1!C7&lt;&gt;vbr_edits!C7,vbr_edits!C7,"")</f>
        <v/>
      </c>
      <c r="D7" t="str">
        <f>IF(Sheet1!D7&lt;&gt;vbr_edits!D7,vbr_edits!D7,"")</f>
        <v/>
      </c>
      <c r="E7">
        <f>IF(Sheet1!E7&lt;&gt;vbr_edits!E7,vbr_edits!E7,"")</f>
        <v>3</v>
      </c>
      <c r="F7" t="str">
        <f>IF(Sheet1!F7&lt;&gt;vbr_edits!F7,vbr_edits!F7,"")</f>
        <v/>
      </c>
      <c r="G7" t="str">
        <f>IF(Sheet1!G7&lt;&gt;vbr_edits!G7,vbr_edits!G7,"")</f>
        <v/>
      </c>
      <c r="H7" t="str">
        <f>IF(Sheet1!H7&lt;&gt;vbr_edits!H7,vbr_edits!H7,"")</f>
        <v/>
      </c>
      <c r="I7" t="str">
        <f>IF(Sheet1!I7&lt;&gt;vbr_edits!I7,vbr_edits!I7,"")</f>
        <v/>
      </c>
      <c r="J7" t="str">
        <f>IF(Sheet1!J7&lt;&gt;vbr_edits!J7,vbr_edits!J7,"")</f>
        <v/>
      </c>
      <c r="K7" t="str">
        <f>IF(Sheet1!K7&lt;&gt;vbr_edits!K7,vbr_edits!K7,"")</f>
        <v/>
      </c>
      <c r="L7" t="str">
        <f>IF(Sheet1!L7&lt;&gt;vbr_edits!L7,vbr_edits!L7,"")</f>
        <v/>
      </c>
      <c r="M7" t="str">
        <f>IF(Sheet1!M7&lt;&gt;vbr_edits!M7,vbr_edits!M7,"")</f>
        <v/>
      </c>
      <c r="N7" t="str">
        <f>IF(Sheet1!N7&lt;&gt;vbr_edits!N7,vbr_edits!N7,"")</f>
        <v/>
      </c>
      <c r="O7" t="str">
        <f>IF(Sheet1!O7&lt;&gt;vbr_edits!O7,vbr_edits!O7,"")</f>
        <v/>
      </c>
      <c r="P7" t="str">
        <f>IF(Sheet1!P7&lt;&gt;vbr_edits!P7,vbr_edits!P7,"")</f>
        <v/>
      </c>
      <c r="Q7" t="str">
        <f>IF(Sheet1!Q7&lt;&gt;vbr_edits!Q7,vbr_edits!Q7,"")</f>
        <v/>
      </c>
      <c r="R7" t="str">
        <f>IF(Sheet1!R7&lt;&gt;vbr_edits!R7,vbr_edits!R7,"")</f>
        <v/>
      </c>
      <c r="S7" t="str">
        <f>IF(Sheet1!S7&lt;&gt;vbr_edits!S7,vbr_edits!S7,"")</f>
        <v/>
      </c>
    </row>
    <row r="8" spans="1:19" x14ac:dyDescent="0.2">
      <c r="A8">
        <f>Sheet1!A8</f>
        <v>7</v>
      </c>
      <c r="B8">
        <f>Sheet1!B8</f>
        <v>7</v>
      </c>
      <c r="C8" t="str">
        <f>IF(Sheet1!C8&lt;&gt;vbr_edits!C8,vbr_edits!C8,"")</f>
        <v/>
      </c>
      <c r="D8" t="str">
        <f>IF(Sheet1!D8&lt;&gt;vbr_edits!D8,vbr_edits!D8,"")</f>
        <v/>
      </c>
      <c r="E8">
        <f>IF(Sheet1!E8&lt;&gt;vbr_edits!E8,vbr_edits!E8,"")</f>
        <v>5</v>
      </c>
      <c r="F8" t="str">
        <f>IF(Sheet1!F8&lt;&gt;vbr_edits!F8,vbr_edits!F8,"")</f>
        <v/>
      </c>
      <c r="G8" t="str">
        <f>IF(Sheet1!G8&lt;&gt;vbr_edits!G8,vbr_edits!G8,"")</f>
        <v/>
      </c>
      <c r="H8" t="str">
        <f>IF(Sheet1!H8&lt;&gt;vbr_edits!H8,vbr_edits!H8,"")</f>
        <v/>
      </c>
      <c r="I8" t="str">
        <f>IF(Sheet1!I8&lt;&gt;vbr_edits!I8,vbr_edits!I8,"")</f>
        <v/>
      </c>
      <c r="J8" t="str">
        <f>IF(Sheet1!J8&lt;&gt;vbr_edits!J8,vbr_edits!J8,"")</f>
        <v/>
      </c>
      <c r="K8" t="str">
        <f>IF(Sheet1!K8&lt;&gt;vbr_edits!K8,vbr_edits!K8,"")</f>
        <v/>
      </c>
      <c r="L8" t="str">
        <f>IF(Sheet1!L8&lt;&gt;vbr_edits!L8,vbr_edits!L8,"")</f>
        <v/>
      </c>
      <c r="M8" t="str">
        <f>IF(Sheet1!M8&lt;&gt;vbr_edits!M8,vbr_edits!M8,"")</f>
        <v/>
      </c>
      <c r="N8" t="str">
        <f>IF(Sheet1!N8&lt;&gt;vbr_edits!N8,vbr_edits!N8,"")</f>
        <v/>
      </c>
      <c r="O8" t="str">
        <f>IF(Sheet1!O8&lt;&gt;vbr_edits!O8,vbr_edits!O8,"")</f>
        <v/>
      </c>
      <c r="P8" t="str">
        <f>IF(Sheet1!P8&lt;&gt;vbr_edits!P8,vbr_edits!P8,"")</f>
        <v/>
      </c>
      <c r="Q8" t="str">
        <f>IF(Sheet1!Q8&lt;&gt;vbr_edits!Q8,vbr_edits!Q8,"")</f>
        <v/>
      </c>
      <c r="R8" t="str">
        <f>IF(Sheet1!R8&lt;&gt;vbr_edits!R8,vbr_edits!R8,"")</f>
        <v/>
      </c>
      <c r="S8" t="str">
        <f>IF(Sheet1!S8&lt;&gt;vbr_edits!S8,vbr_edits!S8,"")</f>
        <v>Have added "of age" to the main title</v>
      </c>
    </row>
    <row r="9" spans="1:19" x14ac:dyDescent="0.2">
      <c r="A9">
        <f>Sheet1!A9</f>
        <v>8</v>
      </c>
      <c r="B9">
        <f>Sheet1!B9</f>
        <v>9</v>
      </c>
      <c r="C9" t="str">
        <f>IF(Sheet1!C9&lt;&gt;vbr_edits!C9,vbr_edits!C9,"")</f>
        <v/>
      </c>
      <c r="D9" t="str">
        <f>IF(Sheet1!D9&lt;&gt;vbr_edits!D9,vbr_edits!D9,"")</f>
        <v/>
      </c>
      <c r="E9">
        <f>IF(Sheet1!E9&lt;&gt;vbr_edits!E9,vbr_edits!E9,"")</f>
        <v>6</v>
      </c>
      <c r="F9" t="str">
        <f>IF(Sheet1!F9&lt;&gt;vbr_edits!F9,vbr_edits!F9,"")</f>
        <v/>
      </c>
      <c r="G9" t="str">
        <f>IF(Sheet1!G9&lt;&gt;vbr_edits!G9,vbr_edits!G9,"")</f>
        <v/>
      </c>
      <c r="H9" t="str">
        <f>IF(Sheet1!H9&lt;&gt;vbr_edits!H9,vbr_edits!H9,"")</f>
        <v/>
      </c>
      <c r="I9" t="str">
        <f>IF(Sheet1!I9&lt;&gt;vbr_edits!I9,vbr_edits!I9,"")</f>
        <v/>
      </c>
      <c r="J9" t="str">
        <f>IF(Sheet1!J9&lt;&gt;vbr_edits!J9,vbr_edits!J9,"")</f>
        <v/>
      </c>
      <c r="K9" t="str">
        <f>IF(Sheet1!K9&lt;&gt;vbr_edits!K9,vbr_edits!K9,"")</f>
        <v/>
      </c>
      <c r="L9" t="str">
        <f>IF(Sheet1!L9&lt;&gt;vbr_edits!L9,vbr_edits!L9,"")</f>
        <v/>
      </c>
      <c r="M9" t="str">
        <f>IF(Sheet1!M9&lt;&gt;vbr_edits!M9,vbr_edits!M9,"")</f>
        <v/>
      </c>
      <c r="N9" t="str">
        <f>IF(Sheet1!N9&lt;&gt;vbr_edits!N9,vbr_edits!N9,"")</f>
        <v/>
      </c>
      <c r="O9" t="str">
        <f>IF(Sheet1!O9&lt;&gt;vbr_edits!O9,vbr_edits!O9,"")</f>
        <v/>
      </c>
      <c r="P9" t="str">
        <f>IF(Sheet1!P9&lt;&gt;vbr_edits!P9,vbr_edits!P9,"")</f>
        <v/>
      </c>
      <c r="Q9" t="str">
        <f>IF(Sheet1!Q9&lt;&gt;vbr_edits!Q9,vbr_edits!Q9,"")</f>
        <v/>
      </c>
      <c r="R9" t="str">
        <f>IF(Sheet1!R9&lt;&gt;vbr_edits!R9,vbr_edits!R9,"")</f>
        <v/>
      </c>
      <c r="S9" t="str">
        <f>IF(Sheet1!S9&lt;&gt;vbr_edits!S9,vbr_edits!S9,"")</f>
        <v>Time frame for data is 2009-12. As a lay reader it seems peculiar to have enrollment rate of more than 100%. There is not additional information in neither the main source (UNICEF) nor in Sarah's long report version. Caption information will follow when the report text has been changed</v>
      </c>
    </row>
    <row r="10" spans="1:19" x14ac:dyDescent="0.2">
      <c r="A10">
        <f>Sheet1!A10</f>
        <v>9</v>
      </c>
      <c r="B10">
        <f>Sheet1!B10</f>
        <v>8</v>
      </c>
      <c r="C10" t="str">
        <f>IF(Sheet1!C10&lt;&gt;vbr_edits!C10,vbr_edits!C10,"")</f>
        <v/>
      </c>
      <c r="D10" t="str">
        <f>IF(Sheet1!D10&lt;&gt;vbr_edits!D10,vbr_edits!D10,"")</f>
        <v/>
      </c>
      <c r="E10">
        <f>IF(Sheet1!E10&lt;&gt;vbr_edits!E10,vbr_edits!E10,"")</f>
        <v>0</v>
      </c>
      <c r="F10" t="str">
        <f>IF(Sheet1!F10&lt;&gt;vbr_edits!F10,vbr_edits!F10,"")</f>
        <v/>
      </c>
      <c r="G10" t="str">
        <f>IF(Sheet1!G10&lt;&gt;vbr_edits!G10,vbr_edits!G10,"")</f>
        <v/>
      </c>
      <c r="H10" t="str">
        <f>IF(Sheet1!H10&lt;&gt;vbr_edits!H10,vbr_edits!H10,"")</f>
        <v/>
      </c>
      <c r="I10" t="str">
        <f>IF(Sheet1!I10&lt;&gt;vbr_edits!I10,vbr_edits!I10,"")</f>
        <v/>
      </c>
      <c r="J10" t="str">
        <f>IF(Sheet1!J10&lt;&gt;vbr_edits!J10,vbr_edits!J10,"")</f>
        <v/>
      </c>
      <c r="K10" t="str">
        <f>IF(Sheet1!K10&lt;&gt;vbr_edits!K10,vbr_edits!K10,"")</f>
        <v/>
      </c>
      <c r="L10" t="str">
        <f>IF(Sheet1!L10&lt;&gt;vbr_edits!L10,vbr_edits!L10,"")</f>
        <v/>
      </c>
      <c r="M10" t="str">
        <f>IF(Sheet1!M10&lt;&gt;vbr_edits!M10,vbr_edits!M10,"")</f>
        <v/>
      </c>
      <c r="N10" t="str">
        <f>IF(Sheet1!N10&lt;&gt;vbr_edits!N10,vbr_edits!N10,"")</f>
        <v/>
      </c>
      <c r="O10" t="str">
        <f>IF(Sheet1!O10&lt;&gt;vbr_edits!O10,vbr_edits!O10,"")</f>
        <v/>
      </c>
      <c r="P10" t="str">
        <f>IF(Sheet1!P10&lt;&gt;vbr_edits!P10,vbr_edits!P10,"")</f>
        <v/>
      </c>
      <c r="Q10" t="str">
        <f>IF(Sheet1!Q10&lt;&gt;vbr_edits!Q10,vbr_edits!Q10,"")</f>
        <v/>
      </c>
      <c r="R10" t="str">
        <f>IF(Sheet1!R10&lt;&gt;vbr_edits!R10,vbr_edits!R10,"")</f>
        <v/>
      </c>
      <c r="S10" t="str">
        <f>IF(Sheet1!S10&lt;&gt;vbr_edits!S10,vbr_edits!S10,"")</f>
        <v>I have changed sub title as some of the countries in the table are not EU</v>
      </c>
    </row>
    <row r="11" spans="1:19" x14ac:dyDescent="0.2">
      <c r="A11">
        <f>Sheet1!A11</f>
        <v>10</v>
      </c>
      <c r="B11">
        <f>Sheet1!B11</f>
        <v>11</v>
      </c>
      <c r="C11" t="str">
        <f>IF(Sheet1!C11&lt;&gt;vbr_edits!C11,vbr_edits!C11,"")</f>
        <v/>
      </c>
      <c r="D11" t="str">
        <f>IF(Sheet1!D11&lt;&gt;vbr_edits!D11,vbr_edits!D11,"")</f>
        <v/>
      </c>
      <c r="E11">
        <f>IF(Sheet1!E11&lt;&gt;vbr_edits!E11,vbr_edits!E11,"")</f>
        <v>9</v>
      </c>
      <c r="F11" t="str">
        <f>IF(Sheet1!F11&lt;&gt;vbr_edits!F11,vbr_edits!F11,"")</f>
        <v/>
      </c>
      <c r="G11" t="str">
        <f>IF(Sheet1!G11&lt;&gt;vbr_edits!G11,vbr_edits!G11,"")</f>
        <v/>
      </c>
      <c r="H11" t="str">
        <f>IF(Sheet1!H11&lt;&gt;vbr_edits!H11,vbr_edits!H11,"")</f>
        <v/>
      </c>
      <c r="I11" t="str">
        <f>IF(Sheet1!I11&lt;&gt;vbr_edits!I11,vbr_edits!I11,"")</f>
        <v/>
      </c>
      <c r="J11" t="str">
        <f>IF(Sheet1!J11&lt;&gt;vbr_edits!J11,vbr_edits!J11,"")</f>
        <v/>
      </c>
      <c r="K11" t="str">
        <f>IF(Sheet1!K11&lt;&gt;vbr_edits!K11,vbr_edits!K11,"")</f>
        <v/>
      </c>
      <c r="L11" t="str">
        <f>IF(Sheet1!L11&lt;&gt;vbr_edits!L11,vbr_edits!L11,"")</f>
        <v/>
      </c>
      <c r="M11" t="str">
        <f>IF(Sheet1!M11&lt;&gt;vbr_edits!M11,vbr_edits!M11,"")</f>
        <v/>
      </c>
      <c r="N11" t="str">
        <f>IF(Sheet1!N11&lt;&gt;vbr_edits!N11,vbr_edits!N11,"")</f>
        <v/>
      </c>
      <c r="O11" t="str">
        <f>IF(Sheet1!O11&lt;&gt;vbr_edits!O11,vbr_edits!O11,"")</f>
        <v/>
      </c>
      <c r="P11" t="str">
        <f>IF(Sheet1!P11&lt;&gt;vbr_edits!P11,vbr_edits!P11,"")</f>
        <v/>
      </c>
      <c r="Q11" t="str">
        <f>IF(Sheet1!Q11&lt;&gt;vbr_edits!Q11,vbr_edits!Q11,"")</f>
        <v/>
      </c>
      <c r="R11" t="str">
        <f>IF(Sheet1!R11&lt;&gt;vbr_edits!R11,vbr_edits!R11,"")</f>
        <v/>
      </c>
      <c r="S11" t="str">
        <f>IF(Sheet1!S11&lt;&gt;vbr_edits!S11,vbr_edits!S11,"")</f>
        <v>I will get hold of Kristina</v>
      </c>
    </row>
    <row r="12" spans="1:19" x14ac:dyDescent="0.2">
      <c r="A12">
        <f>Sheet1!A12</f>
        <v>11</v>
      </c>
      <c r="B12">
        <f>Sheet1!B12</f>
        <v>10</v>
      </c>
      <c r="C12" t="str">
        <f>IF(Sheet1!C12&lt;&gt;vbr_edits!C12,vbr_edits!C12,"")</f>
        <v/>
      </c>
      <c r="D12" t="str">
        <f>IF(Sheet1!D12&lt;&gt;vbr_edits!D12,vbr_edits!D12,"")</f>
        <v/>
      </c>
      <c r="E12">
        <f>IF(Sheet1!E12&lt;&gt;vbr_edits!E12,vbr_edits!E12,"")</f>
        <v>8</v>
      </c>
      <c r="F12" t="str">
        <f>IF(Sheet1!F12&lt;&gt;vbr_edits!F12,vbr_edits!F12,"")</f>
        <v/>
      </c>
      <c r="G12" t="str">
        <f>IF(Sheet1!G12&lt;&gt;vbr_edits!G12,vbr_edits!G12,"")</f>
        <v/>
      </c>
      <c r="H12" t="str">
        <f>IF(Sheet1!H12&lt;&gt;vbr_edits!H12,vbr_edits!H12,"")</f>
        <v/>
      </c>
      <c r="I12" t="str">
        <f>IF(Sheet1!I12&lt;&gt;vbr_edits!I12,vbr_edits!I12,"")</f>
        <v/>
      </c>
      <c r="J12" t="str">
        <f>IF(Sheet1!J12&lt;&gt;vbr_edits!J12,vbr_edits!J12,"")</f>
        <v/>
      </c>
      <c r="K12" t="str">
        <f>IF(Sheet1!K12&lt;&gt;vbr_edits!K12,vbr_edits!K12,"")</f>
        <v/>
      </c>
      <c r="L12" t="str">
        <f>IF(Sheet1!L12&lt;&gt;vbr_edits!L12,vbr_edits!L12,"")</f>
        <v/>
      </c>
      <c r="M12" t="str">
        <f>IF(Sheet1!M12&lt;&gt;vbr_edits!M12,vbr_edits!M12,"")</f>
        <v/>
      </c>
      <c r="N12" t="str">
        <f>IF(Sheet1!N12&lt;&gt;vbr_edits!N12,vbr_edits!N12,"")</f>
        <v/>
      </c>
      <c r="O12" t="str">
        <f>IF(Sheet1!O12&lt;&gt;vbr_edits!O12,vbr_edits!O12,"")</f>
        <v/>
      </c>
      <c r="P12" t="str">
        <f>IF(Sheet1!P12&lt;&gt;vbr_edits!P12,vbr_edits!P12,"")</f>
        <v/>
      </c>
      <c r="Q12" t="str">
        <f>IF(Sheet1!Q12&lt;&gt;vbr_edits!Q12,vbr_edits!Q12,"")</f>
        <v/>
      </c>
      <c r="R12" t="str">
        <f>IF(Sheet1!R12&lt;&gt;vbr_edits!R12,vbr_edits!R12,"")</f>
        <v/>
      </c>
      <c r="S12" t="str">
        <f>IF(Sheet1!S12&lt;&gt;vbr_edits!S12,vbr_edits!S12,"")</f>
        <v/>
      </c>
    </row>
    <row r="13" spans="1:19" x14ac:dyDescent="0.2">
      <c r="A13">
        <f>Sheet1!A13</f>
        <v>12</v>
      </c>
      <c r="B13">
        <f>Sheet1!B13</f>
        <v>12</v>
      </c>
      <c r="C13" t="str">
        <f>IF(Sheet1!C13&lt;&gt;vbr_edits!C13,vbr_edits!C13,"")</f>
        <v/>
      </c>
      <c r="D13" t="str">
        <f>IF(Sheet1!D13&lt;&gt;vbr_edits!D13,vbr_edits!D13,"")</f>
        <v/>
      </c>
      <c r="E13">
        <f>IF(Sheet1!E13&lt;&gt;vbr_edits!E13,vbr_edits!E13,"")</f>
        <v>9</v>
      </c>
      <c r="F13" t="str">
        <f>IF(Sheet1!F13&lt;&gt;vbr_edits!F13,vbr_edits!F13,"")</f>
        <v/>
      </c>
      <c r="G13" t="str">
        <f>IF(Sheet1!G13&lt;&gt;vbr_edits!G13,vbr_edits!G13,"")</f>
        <v/>
      </c>
      <c r="H13" t="str">
        <f>IF(Sheet1!H13&lt;&gt;vbr_edits!H13,vbr_edits!H13,"")</f>
        <v/>
      </c>
      <c r="I13" t="str">
        <f>IF(Sheet1!I13&lt;&gt;vbr_edits!I13,vbr_edits!I13,"")</f>
        <v/>
      </c>
      <c r="J13" t="str">
        <f>IF(Sheet1!J13&lt;&gt;vbr_edits!J13,vbr_edits!J13,"")</f>
        <v/>
      </c>
      <c r="K13" t="str">
        <f>IF(Sheet1!K13&lt;&gt;vbr_edits!K13,vbr_edits!K13,"")</f>
        <v/>
      </c>
      <c r="L13" t="str">
        <f>IF(Sheet1!L13&lt;&gt;vbr_edits!L13,vbr_edits!L13,"")</f>
        <v/>
      </c>
      <c r="M13" t="str">
        <f>IF(Sheet1!M13&lt;&gt;vbr_edits!M13,vbr_edits!M13,"")</f>
        <v/>
      </c>
      <c r="N13" t="str">
        <f>IF(Sheet1!N13&lt;&gt;vbr_edits!N13,vbr_edits!N13,"")</f>
        <v/>
      </c>
      <c r="O13" t="str">
        <f>IF(Sheet1!O13&lt;&gt;vbr_edits!O13,vbr_edits!O13,"")</f>
        <v/>
      </c>
      <c r="P13" t="str">
        <f>IF(Sheet1!P13&lt;&gt;vbr_edits!P13,vbr_edits!P13,"")</f>
        <v/>
      </c>
      <c r="Q13" t="str">
        <f>IF(Sheet1!Q13&lt;&gt;vbr_edits!Q13,vbr_edits!Q13,"")</f>
        <v/>
      </c>
      <c r="R13" t="str">
        <f>IF(Sheet1!R13&lt;&gt;vbr_edits!R13,vbr_edits!R13,"")</f>
        <v/>
      </c>
      <c r="S13" t="str">
        <f>IF(Sheet1!S13&lt;&gt;vbr_edits!S13,vbr_edits!S13,"")</f>
        <v>The reference was wrong, the correct reference is the 2015 report, however the data plotted are not the same as in the report. The datalink  is now directly to the page in the report where the figures are. Can I change it myself?</v>
      </c>
    </row>
    <row r="14" spans="1:19" x14ac:dyDescent="0.2">
      <c r="A14">
        <f>Sheet1!A14</f>
        <v>13</v>
      </c>
      <c r="B14">
        <f>Sheet1!B14</f>
        <v>13</v>
      </c>
      <c r="C14" t="str">
        <f>IF(Sheet1!C14&lt;&gt;vbr_edits!C14,vbr_edits!C14,"")</f>
        <v/>
      </c>
      <c r="D14" t="str">
        <f>IF(Sheet1!D14&lt;&gt;vbr_edits!D14,vbr_edits!D14,"")</f>
        <v/>
      </c>
      <c r="E14">
        <f>IF(Sheet1!E14&lt;&gt;vbr_edits!E14,vbr_edits!E14,"")</f>
        <v>11</v>
      </c>
      <c r="F14" t="str">
        <f>IF(Sheet1!F14&lt;&gt;vbr_edits!F14,vbr_edits!F14,"")</f>
        <v/>
      </c>
      <c r="G14" t="str">
        <f>IF(Sheet1!G14&lt;&gt;vbr_edits!G14,vbr_edits!G14,"")</f>
        <v/>
      </c>
      <c r="H14" t="str">
        <f>IF(Sheet1!H14&lt;&gt;vbr_edits!H14,vbr_edits!H14,"")</f>
        <v/>
      </c>
      <c r="I14" t="str">
        <f>IF(Sheet1!I14&lt;&gt;vbr_edits!I14,vbr_edits!I14,"")</f>
        <v/>
      </c>
      <c r="J14" t="str">
        <f>IF(Sheet1!J14&lt;&gt;vbr_edits!J14,vbr_edits!J14,"")</f>
        <v/>
      </c>
      <c r="K14" t="str">
        <f>IF(Sheet1!K14&lt;&gt;vbr_edits!K14,vbr_edits!K14,"")</f>
        <v/>
      </c>
      <c r="L14" t="str">
        <f>IF(Sheet1!L14&lt;&gt;vbr_edits!L14,vbr_edits!L14,"")</f>
        <v/>
      </c>
      <c r="M14" t="str">
        <f>IF(Sheet1!M14&lt;&gt;vbr_edits!M14,vbr_edits!M14,"")</f>
        <v/>
      </c>
      <c r="N14" t="str">
        <f>IF(Sheet1!N14&lt;&gt;vbr_edits!N14,vbr_edits!N14,"")</f>
        <v/>
      </c>
      <c r="O14" t="str">
        <f>IF(Sheet1!O14&lt;&gt;vbr_edits!O14,vbr_edits!O14,"")</f>
        <v/>
      </c>
      <c r="P14" t="str">
        <f>IF(Sheet1!P14&lt;&gt;vbr_edits!P14,vbr_edits!P14,"")</f>
        <v/>
      </c>
      <c r="Q14" t="str">
        <f>IF(Sheet1!Q14&lt;&gt;vbr_edits!Q14,vbr_edits!Q14,"")</f>
        <v/>
      </c>
      <c r="R14" t="str">
        <f>IF(Sheet1!R14&lt;&gt;vbr_edits!R14,vbr_edits!R14,"")</f>
        <v/>
      </c>
      <c r="S14" t="str">
        <f>IF(Sheet1!S14&lt;&gt;vbr_edits!S14,vbr_edits!S14,"")</f>
        <v/>
      </c>
    </row>
    <row r="15" spans="1:19" x14ac:dyDescent="0.2">
      <c r="A15">
        <f>Sheet1!A15</f>
        <v>14</v>
      </c>
      <c r="B15">
        <f>Sheet1!B15</f>
        <v>15</v>
      </c>
      <c r="C15" t="str">
        <f>IF(Sheet1!C15&lt;&gt;vbr_edits!C15,vbr_edits!C15,"")</f>
        <v/>
      </c>
      <c r="D15" t="str">
        <f>IF(Sheet1!D15&lt;&gt;vbr_edits!D15,vbr_edits!D15,"")</f>
        <v/>
      </c>
      <c r="E15">
        <f>IF(Sheet1!E15&lt;&gt;vbr_edits!E15,vbr_edits!E15,"")</f>
        <v>12</v>
      </c>
      <c r="F15" t="str">
        <f>IF(Sheet1!F15&lt;&gt;vbr_edits!F15,vbr_edits!F15,"")</f>
        <v/>
      </c>
      <c r="G15" t="str">
        <f>IF(Sheet1!G15&lt;&gt;vbr_edits!G15,vbr_edits!G15,"")</f>
        <v/>
      </c>
      <c r="H15" t="str">
        <f>IF(Sheet1!H15&lt;&gt;vbr_edits!H15,vbr_edits!H15,"")</f>
        <v/>
      </c>
      <c r="I15" t="str">
        <f>IF(Sheet1!I15&lt;&gt;vbr_edits!I15,vbr_edits!I15,"")</f>
        <v/>
      </c>
      <c r="J15" t="str">
        <f>IF(Sheet1!J15&lt;&gt;vbr_edits!J15,vbr_edits!J15,"")</f>
        <v/>
      </c>
      <c r="K15" t="str">
        <f>IF(Sheet1!K15&lt;&gt;vbr_edits!K15,vbr_edits!K15,"")</f>
        <v/>
      </c>
      <c r="L15" t="str">
        <f>IF(Sheet1!L15&lt;&gt;vbr_edits!L15,vbr_edits!L15,"")</f>
        <v/>
      </c>
      <c r="M15" t="str">
        <f>IF(Sheet1!M15&lt;&gt;vbr_edits!M15,vbr_edits!M15,"")</f>
        <v/>
      </c>
      <c r="N15" t="str">
        <f>IF(Sheet1!N15&lt;&gt;vbr_edits!N15,vbr_edits!N15,"")</f>
        <v/>
      </c>
      <c r="O15" t="str">
        <f>IF(Sheet1!O15&lt;&gt;vbr_edits!O15,vbr_edits!O15,"")</f>
        <v/>
      </c>
      <c r="P15" t="str">
        <f>IF(Sheet1!P15&lt;&gt;vbr_edits!P15,vbr_edits!P15,"")</f>
        <v/>
      </c>
      <c r="Q15" t="str">
        <f>IF(Sheet1!Q15&lt;&gt;vbr_edits!Q15,vbr_edits!Q15,"")</f>
        <v/>
      </c>
      <c r="R15" t="str">
        <f>IF(Sheet1!R15&lt;&gt;vbr_edits!R15,vbr_edits!R15,"")</f>
        <v/>
      </c>
      <c r="S15" t="str">
        <f>IF(Sheet1!S15&lt;&gt;vbr_edits!S15,vbr_edits!S15,"")</f>
        <v/>
      </c>
    </row>
    <row r="16" spans="1:19" x14ac:dyDescent="0.2">
      <c r="A16">
        <f>Sheet1!A16</f>
        <v>15</v>
      </c>
      <c r="B16">
        <f>Sheet1!B16</f>
        <v>14</v>
      </c>
      <c r="C16" t="str">
        <f>IF(Sheet1!C16&lt;&gt;vbr_edits!C16,vbr_edits!C16,"")</f>
        <v/>
      </c>
      <c r="D16" t="str">
        <f>IF(Sheet1!D16&lt;&gt;vbr_edits!D16,vbr_edits!D16,"")</f>
        <v/>
      </c>
      <c r="E16">
        <f>IF(Sheet1!E16&lt;&gt;vbr_edits!E16,vbr_edits!E16,"")</f>
        <v>12</v>
      </c>
      <c r="F16" t="str">
        <f>IF(Sheet1!F16&lt;&gt;vbr_edits!F16,vbr_edits!F16,"")</f>
        <v/>
      </c>
      <c r="G16" t="str">
        <f>IF(Sheet1!G16&lt;&gt;vbr_edits!G16,vbr_edits!G16,"")</f>
        <v/>
      </c>
      <c r="H16" t="str">
        <f>IF(Sheet1!H16&lt;&gt;vbr_edits!H16,vbr_edits!H16,"")</f>
        <v/>
      </c>
      <c r="I16" t="str">
        <f>IF(Sheet1!I16&lt;&gt;vbr_edits!I16,vbr_edits!I16,"")</f>
        <v/>
      </c>
      <c r="J16" t="str">
        <f>IF(Sheet1!J16&lt;&gt;vbr_edits!J16,vbr_edits!J16,"")</f>
        <v/>
      </c>
      <c r="K16" t="str">
        <f>IF(Sheet1!K16&lt;&gt;vbr_edits!K16,vbr_edits!K16,"")</f>
        <v/>
      </c>
      <c r="L16" t="str">
        <f>IF(Sheet1!L16&lt;&gt;vbr_edits!L16,vbr_edits!L16,"")</f>
        <v/>
      </c>
      <c r="M16" t="str">
        <f>IF(Sheet1!M16&lt;&gt;vbr_edits!M16,vbr_edits!M16,"")</f>
        <v/>
      </c>
      <c r="N16" t="str">
        <f>IF(Sheet1!N16&lt;&gt;vbr_edits!N16,vbr_edits!N16,"")</f>
        <v/>
      </c>
      <c r="O16" t="str">
        <f>IF(Sheet1!O16&lt;&gt;vbr_edits!O16,vbr_edits!O16,"")</f>
        <v/>
      </c>
      <c r="P16" t="str">
        <f>IF(Sheet1!P16&lt;&gt;vbr_edits!P16,vbr_edits!P16,"")</f>
        <v/>
      </c>
      <c r="Q16" t="str">
        <f>IF(Sheet1!Q16&lt;&gt;vbr_edits!Q16,vbr_edits!Q16,"")</f>
        <v/>
      </c>
      <c r="R16" t="str">
        <f>IF(Sheet1!R16&lt;&gt;vbr_edits!R16,vbr_edits!R16,"")</f>
        <v/>
      </c>
      <c r="S16" t="str">
        <f>IF(Sheet1!S16&lt;&gt;vbr_edits!S16,vbr_edits!S16,"")</f>
        <v>I have to dig further for references and links for this one. I will do that tomorrow</v>
      </c>
    </row>
    <row r="17" spans="1:19" x14ac:dyDescent="0.2">
      <c r="A17">
        <f>Sheet1!A17</f>
        <v>16</v>
      </c>
      <c r="B17">
        <f>Sheet1!B17</f>
        <v>16</v>
      </c>
      <c r="C17" t="str">
        <f>IF(Sheet1!C17&lt;&gt;vbr_edits!C17,vbr_edits!C17,"")</f>
        <v/>
      </c>
      <c r="D17" t="str">
        <f>IF(Sheet1!D17&lt;&gt;vbr_edits!D17,vbr_edits!D17,"")</f>
        <v/>
      </c>
      <c r="E17">
        <f>IF(Sheet1!E17&lt;&gt;vbr_edits!E17,vbr_edits!E17,"")</f>
        <v>13</v>
      </c>
      <c r="F17" t="str">
        <f>IF(Sheet1!F17&lt;&gt;vbr_edits!F17,vbr_edits!F17,"")</f>
        <v/>
      </c>
      <c r="G17" t="str">
        <f>IF(Sheet1!G17&lt;&gt;vbr_edits!G17,vbr_edits!G17,"")</f>
        <v/>
      </c>
      <c r="H17" t="str">
        <f>IF(Sheet1!H17&lt;&gt;vbr_edits!H17,vbr_edits!H17,"")</f>
        <v/>
      </c>
      <c r="I17" t="str">
        <f>IF(Sheet1!I17&lt;&gt;vbr_edits!I17,vbr_edits!I17,"")</f>
        <v/>
      </c>
      <c r="J17" t="str">
        <f>IF(Sheet1!J17&lt;&gt;vbr_edits!J17,vbr_edits!J17,"")</f>
        <v/>
      </c>
      <c r="K17" t="str">
        <f>IF(Sheet1!K17&lt;&gt;vbr_edits!K17,vbr_edits!K17,"")</f>
        <v/>
      </c>
      <c r="L17" t="str">
        <f>IF(Sheet1!L17&lt;&gt;vbr_edits!L17,vbr_edits!L17,"")</f>
        <v/>
      </c>
      <c r="M17" t="str">
        <f>IF(Sheet1!M17&lt;&gt;vbr_edits!M17,vbr_edits!M17,"")</f>
        <v/>
      </c>
      <c r="N17" t="str">
        <f>IF(Sheet1!N17&lt;&gt;vbr_edits!N17,vbr_edits!N17,"")</f>
        <v/>
      </c>
      <c r="O17" t="str">
        <f>IF(Sheet1!O17&lt;&gt;vbr_edits!O17,vbr_edits!O17,"")</f>
        <v/>
      </c>
      <c r="P17" t="str">
        <f>IF(Sheet1!P17&lt;&gt;vbr_edits!P17,vbr_edits!P17,"")</f>
        <v/>
      </c>
      <c r="Q17" t="str">
        <f>IF(Sheet1!Q17&lt;&gt;vbr_edits!Q17,vbr_edits!Q17,"")</f>
        <v/>
      </c>
      <c r="R17" t="str">
        <f>IF(Sheet1!R17&lt;&gt;vbr_edits!R17,vbr_edits!R17,"")</f>
        <v/>
      </c>
      <c r="S17" t="str">
        <f>IF(Sheet1!S17&lt;&gt;vbr_edits!S17,vbr_edits!S17,"")</f>
        <v>Subtitle changes as there are also non EU countries in the table</v>
      </c>
    </row>
    <row r="18" spans="1:19" x14ac:dyDescent="0.2">
      <c r="A18">
        <f>Sheet1!A18</f>
        <v>17</v>
      </c>
      <c r="B18">
        <f>Sheet1!B18</f>
        <v>18</v>
      </c>
      <c r="C18" t="str">
        <f>IF(Sheet1!C18&lt;&gt;vbr_edits!C18,vbr_edits!C18,"")</f>
        <v/>
      </c>
      <c r="D18" t="str">
        <f>IF(Sheet1!D18&lt;&gt;vbr_edits!D18,vbr_edits!D18,"")</f>
        <v/>
      </c>
      <c r="E18">
        <f>IF(Sheet1!E18&lt;&gt;vbr_edits!E18,vbr_edits!E18,"")</f>
        <v>14</v>
      </c>
      <c r="F18" t="str">
        <f>IF(Sheet1!F18&lt;&gt;vbr_edits!F18,vbr_edits!F18,"")</f>
        <v/>
      </c>
      <c r="G18" t="str">
        <f>IF(Sheet1!G18&lt;&gt;vbr_edits!G18,vbr_edits!G18,"")</f>
        <v/>
      </c>
      <c r="H18" t="str">
        <f>IF(Sheet1!H18&lt;&gt;vbr_edits!H18,vbr_edits!H18,"")</f>
        <v/>
      </c>
      <c r="I18" t="str">
        <f>IF(Sheet1!I18&lt;&gt;vbr_edits!I18,vbr_edits!I18,"")</f>
        <v/>
      </c>
      <c r="J18" t="str">
        <f>IF(Sheet1!J18&lt;&gt;vbr_edits!J18,vbr_edits!J18,"")</f>
        <v/>
      </c>
      <c r="K18" t="str">
        <f>IF(Sheet1!K18&lt;&gt;vbr_edits!K18,vbr_edits!K18,"")</f>
        <v/>
      </c>
      <c r="L18" t="str">
        <f>IF(Sheet1!L18&lt;&gt;vbr_edits!L18,vbr_edits!L18,"")</f>
        <v/>
      </c>
      <c r="M18" t="str">
        <f>IF(Sheet1!M18&lt;&gt;vbr_edits!M18,vbr_edits!M18,"")</f>
        <v/>
      </c>
      <c r="N18" t="str">
        <f>IF(Sheet1!N18&lt;&gt;vbr_edits!N18,vbr_edits!N18,"")</f>
        <v/>
      </c>
      <c r="O18" t="str">
        <f>IF(Sheet1!O18&lt;&gt;vbr_edits!O18,vbr_edits!O18,"")</f>
        <v/>
      </c>
      <c r="P18" t="str">
        <f>IF(Sheet1!P18&lt;&gt;vbr_edits!P18,vbr_edits!P18,"")</f>
        <v/>
      </c>
      <c r="Q18" t="str">
        <f>IF(Sheet1!Q18&lt;&gt;vbr_edits!Q18,vbr_edits!Q18,"")</f>
        <v/>
      </c>
      <c r="R18" t="str">
        <f>IF(Sheet1!R18&lt;&gt;vbr_edits!R18,vbr_edits!R18,"")</f>
        <v/>
      </c>
      <c r="S18">
        <f>IF(Sheet1!S18&lt;&gt;vbr_edits!S18,vbr_edits!S18,"")</f>
        <v>0</v>
      </c>
    </row>
    <row r="19" spans="1:19" x14ac:dyDescent="0.2">
      <c r="A19">
        <f>Sheet1!A19</f>
        <v>18</v>
      </c>
      <c r="B19">
        <f>Sheet1!B19</f>
        <v>17</v>
      </c>
      <c r="C19" t="str">
        <f>IF(Sheet1!C19&lt;&gt;vbr_edits!C19,vbr_edits!C19,"")</f>
        <v/>
      </c>
      <c r="D19" t="str">
        <f>IF(Sheet1!D19&lt;&gt;vbr_edits!D19,vbr_edits!D19,"")</f>
        <v/>
      </c>
      <c r="E19">
        <f>IF(Sheet1!E19&lt;&gt;vbr_edits!E19,vbr_edits!E19,"")</f>
        <v>13</v>
      </c>
      <c r="F19" t="str">
        <f>IF(Sheet1!F19&lt;&gt;vbr_edits!F19,vbr_edits!F19,"")</f>
        <v/>
      </c>
      <c r="G19" t="str">
        <f>IF(Sheet1!G19&lt;&gt;vbr_edits!G19,vbr_edits!G19,"")</f>
        <v/>
      </c>
      <c r="H19" t="str">
        <f>IF(Sheet1!H19&lt;&gt;vbr_edits!H19,vbr_edits!H19,"")</f>
        <v/>
      </c>
      <c r="I19" t="str">
        <f>IF(Sheet1!I19&lt;&gt;vbr_edits!I19,vbr_edits!I19,"")</f>
        <v/>
      </c>
      <c r="J19" t="str">
        <f>IF(Sheet1!J19&lt;&gt;vbr_edits!J19,vbr_edits!J19,"")</f>
        <v/>
      </c>
      <c r="K19" t="str">
        <f>IF(Sheet1!K19&lt;&gt;vbr_edits!K19,vbr_edits!K19,"")</f>
        <v/>
      </c>
      <c r="L19" t="str">
        <f>IF(Sheet1!L19&lt;&gt;vbr_edits!L19,vbr_edits!L19,"")</f>
        <v/>
      </c>
      <c r="M19" t="str">
        <f>IF(Sheet1!M19&lt;&gt;vbr_edits!M19,vbr_edits!M19,"")</f>
        <v/>
      </c>
      <c r="N19" t="str">
        <f>IF(Sheet1!N19&lt;&gt;vbr_edits!N19,vbr_edits!N19,"")</f>
        <v/>
      </c>
      <c r="O19" t="str">
        <f>IF(Sheet1!O19&lt;&gt;vbr_edits!O19,vbr_edits!O19,"")</f>
        <v/>
      </c>
      <c r="P19" t="str">
        <f>IF(Sheet1!P19&lt;&gt;vbr_edits!P19,vbr_edits!P19,"")</f>
        <v/>
      </c>
      <c r="Q19" t="str">
        <f>IF(Sheet1!Q19&lt;&gt;vbr_edits!Q19,vbr_edits!Q19,"")</f>
        <v/>
      </c>
      <c r="R19" t="str">
        <f>IF(Sheet1!R19&lt;&gt;vbr_edits!R19,vbr_edits!R19,"")</f>
        <v/>
      </c>
      <c r="S19" t="str">
        <f>IF(Sheet1!S19&lt;&gt;vbr_edits!S19,vbr_edits!S19,"")</f>
        <v/>
      </c>
    </row>
    <row r="20" spans="1:19" x14ac:dyDescent="0.2">
      <c r="A20" t="str">
        <f>IF(Sheet1!A20&lt;&gt;vbr_edits!A20,vbr_edits!A20,"")</f>
        <v/>
      </c>
      <c r="B20" t="str">
        <f>IF(Sheet1!B20&lt;&gt;vbr_edits!B20,vbr_edits!B20,"")</f>
        <v/>
      </c>
      <c r="C20" t="str">
        <f>IF(Sheet1!C20&lt;&gt;vbr_edits!C20,vbr_edits!C20,"")</f>
        <v/>
      </c>
      <c r="D20" t="str">
        <f>IF(Sheet1!D20&lt;&gt;vbr_edits!D20,vbr_edits!D20,"")</f>
        <v/>
      </c>
      <c r="E20" t="str">
        <f>IF(Sheet1!E20&lt;&gt;vbr_edits!E20,vbr_edits!E20,"")</f>
        <v/>
      </c>
      <c r="F20" t="str">
        <f>IF(Sheet1!F20&lt;&gt;vbr_edits!F20,vbr_edits!F20,"")</f>
        <v/>
      </c>
      <c r="G20" t="str">
        <f>IF(Sheet1!G20&lt;&gt;vbr_edits!G20,vbr_edits!G20,"")</f>
        <v/>
      </c>
      <c r="H20" t="str">
        <f>IF(Sheet1!H20&lt;&gt;vbr_edits!H20,vbr_edits!H20,"")</f>
        <v/>
      </c>
      <c r="I20" t="str">
        <f>IF(Sheet1!I20&lt;&gt;vbr_edits!I20,vbr_edits!I20,"")</f>
        <v/>
      </c>
      <c r="J20" t="str">
        <f>IF(Sheet1!J20&lt;&gt;vbr_edits!J20,vbr_edits!J20,"")</f>
        <v/>
      </c>
      <c r="K20" t="str">
        <f>IF(Sheet1!K20&lt;&gt;vbr_edits!K20,vbr_edits!K20,"")</f>
        <v/>
      </c>
      <c r="L20" t="str">
        <f>IF(Sheet1!L20&lt;&gt;vbr_edits!L20,vbr_edits!L20,"")</f>
        <v/>
      </c>
      <c r="M20" t="str">
        <f>IF(Sheet1!M20&lt;&gt;vbr_edits!M20,vbr_edits!M20,"")</f>
        <v/>
      </c>
      <c r="N20" t="str">
        <f>IF(Sheet1!N20&lt;&gt;vbr_edits!N20,vbr_edits!N20,"")</f>
        <v/>
      </c>
      <c r="O20" t="str">
        <f>IF(Sheet1!O20&lt;&gt;vbr_edits!O20,vbr_edits!O20,"")</f>
        <v/>
      </c>
      <c r="P20" t="str">
        <f>IF(Sheet1!P20&lt;&gt;vbr_edits!P20,vbr_edits!P20,"")</f>
        <v/>
      </c>
      <c r="Q20" t="str">
        <f>IF(Sheet1!Q20&lt;&gt;vbr_edits!Q20,vbr_edits!Q20,"")</f>
        <v/>
      </c>
      <c r="R20" t="str">
        <f>IF(Sheet1!R20&lt;&gt;vbr_edits!R20,vbr_edits!R20,"")</f>
        <v/>
      </c>
      <c r="S20" t="str">
        <f>IF(Sheet1!S20&lt;&gt;vbr_edits!S20,vbr_edits!S20,"")</f>
        <v/>
      </c>
    </row>
    <row r="21" spans="1:19" x14ac:dyDescent="0.2">
      <c r="A21" t="str">
        <f>IF(Sheet1!A21&lt;&gt;vbr_edits!A21,vbr_edits!A21,"")</f>
        <v/>
      </c>
      <c r="B21" t="str">
        <f>IF(Sheet1!B21&lt;&gt;vbr_edits!B21,vbr_edits!B21,"")</f>
        <v/>
      </c>
      <c r="C21" t="str">
        <f>IF(Sheet1!C21&lt;&gt;vbr_edits!C21,vbr_edits!C21,"")</f>
        <v/>
      </c>
      <c r="D21" t="str">
        <f>IF(Sheet1!D21&lt;&gt;vbr_edits!D21,vbr_edits!D21,"")</f>
        <v/>
      </c>
      <c r="E21" t="str">
        <f>IF(Sheet1!E21&lt;&gt;vbr_edits!E21,vbr_edits!E21,"")</f>
        <v/>
      </c>
      <c r="F21" t="str">
        <f>IF(Sheet1!F21&lt;&gt;vbr_edits!F21,vbr_edits!F21,"")</f>
        <v/>
      </c>
      <c r="G21" t="str">
        <f>IF(Sheet1!G21&lt;&gt;vbr_edits!G21,vbr_edits!G21,"")</f>
        <v/>
      </c>
      <c r="H21" t="str">
        <f>IF(Sheet1!H21&lt;&gt;vbr_edits!H21,vbr_edits!H21,"")</f>
        <v/>
      </c>
      <c r="I21" t="str">
        <f>IF(Sheet1!I21&lt;&gt;vbr_edits!I21,vbr_edits!I21,"")</f>
        <v/>
      </c>
      <c r="J21" t="str">
        <f>IF(Sheet1!J21&lt;&gt;vbr_edits!J21,vbr_edits!J21,"")</f>
        <v/>
      </c>
      <c r="K21" t="str">
        <f>IF(Sheet1!K21&lt;&gt;vbr_edits!K21,vbr_edits!K21,"")</f>
        <v/>
      </c>
      <c r="L21" t="str">
        <f>IF(Sheet1!L21&lt;&gt;vbr_edits!L21,vbr_edits!L21,"")</f>
        <v/>
      </c>
      <c r="M21" t="str">
        <f>IF(Sheet1!M21&lt;&gt;vbr_edits!M21,vbr_edits!M21,"")</f>
        <v/>
      </c>
      <c r="N21" t="str">
        <f>IF(Sheet1!N21&lt;&gt;vbr_edits!N21,vbr_edits!N21,"")</f>
        <v/>
      </c>
      <c r="O21" t="str">
        <f>IF(Sheet1!O21&lt;&gt;vbr_edits!O21,vbr_edits!O21,"")</f>
        <v/>
      </c>
      <c r="P21" t="str">
        <f>IF(Sheet1!P21&lt;&gt;vbr_edits!P21,vbr_edits!P21,"")</f>
        <v/>
      </c>
      <c r="Q21" t="str">
        <f>IF(Sheet1!Q21&lt;&gt;vbr_edits!Q21,vbr_edits!Q21,"")</f>
        <v/>
      </c>
      <c r="R21" t="str">
        <f>IF(Sheet1!R21&lt;&gt;vbr_edits!R21,vbr_edits!R21,"")</f>
        <v/>
      </c>
      <c r="S21" t="str">
        <f>IF(Sheet1!S21&lt;&gt;vbr_edits!S21,vbr_edits!S21,"")</f>
        <v/>
      </c>
    </row>
    <row r="22" spans="1:19" x14ac:dyDescent="0.2">
      <c r="A22" t="str">
        <f>IF(Sheet1!A22&lt;&gt;vbr_edits!A22,vbr_edits!A22,"")</f>
        <v/>
      </c>
      <c r="B22" t="str">
        <f>IF(Sheet1!B22&lt;&gt;vbr_edits!B22,vbr_edits!B22,"")</f>
        <v/>
      </c>
      <c r="C22" t="str">
        <f>IF(Sheet1!C22&lt;&gt;vbr_edits!C22,vbr_edits!C22,"")</f>
        <v/>
      </c>
      <c r="D22" t="str">
        <f>IF(Sheet1!D22&lt;&gt;vbr_edits!D22,vbr_edits!D22,"")</f>
        <v/>
      </c>
      <c r="E22" t="str">
        <f>IF(Sheet1!E22&lt;&gt;vbr_edits!E22,vbr_edits!E22,"")</f>
        <v/>
      </c>
      <c r="F22" t="str">
        <f>IF(Sheet1!F22&lt;&gt;vbr_edits!F22,vbr_edits!F22,"")</f>
        <v/>
      </c>
      <c r="G22" t="str">
        <f>IF(Sheet1!G22&lt;&gt;vbr_edits!G22,vbr_edits!G22,"")</f>
        <v/>
      </c>
      <c r="H22" t="str">
        <f>IF(Sheet1!H22&lt;&gt;vbr_edits!H22,vbr_edits!H22,"")</f>
        <v/>
      </c>
      <c r="I22" t="str">
        <f>IF(Sheet1!I22&lt;&gt;vbr_edits!I22,vbr_edits!I22,"")</f>
        <v/>
      </c>
      <c r="J22" t="str">
        <f>IF(Sheet1!J22&lt;&gt;vbr_edits!J22,vbr_edits!J22,"")</f>
        <v/>
      </c>
      <c r="K22" t="str">
        <f>IF(Sheet1!K22&lt;&gt;vbr_edits!K22,vbr_edits!K22,"")</f>
        <v/>
      </c>
      <c r="L22" t="str">
        <f>IF(Sheet1!L22&lt;&gt;vbr_edits!L22,vbr_edits!L22,"")</f>
        <v/>
      </c>
      <c r="M22" t="str">
        <f>IF(Sheet1!M22&lt;&gt;vbr_edits!M22,vbr_edits!M22,"")</f>
        <v/>
      </c>
      <c r="N22" t="str">
        <f>IF(Sheet1!N22&lt;&gt;vbr_edits!N22,vbr_edits!N22,"")</f>
        <v/>
      </c>
      <c r="O22" t="str">
        <f>IF(Sheet1!O22&lt;&gt;vbr_edits!O22,vbr_edits!O22,"")</f>
        <v/>
      </c>
      <c r="P22" t="str">
        <f>IF(Sheet1!P22&lt;&gt;vbr_edits!P22,vbr_edits!P22,"")</f>
        <v/>
      </c>
      <c r="Q22" t="str">
        <f>IF(Sheet1!Q22&lt;&gt;vbr_edits!Q22,vbr_edits!Q22,"")</f>
        <v/>
      </c>
      <c r="R22" t="str">
        <f>IF(Sheet1!R22&lt;&gt;vbr_edits!R22,vbr_edits!R22,"")</f>
        <v/>
      </c>
      <c r="S22" t="str">
        <f>IF(Sheet1!S22&lt;&gt;vbr_edits!S22,vbr_edits!S22,"")</f>
        <v/>
      </c>
    </row>
    <row r="23" spans="1:19" x14ac:dyDescent="0.2">
      <c r="A23" t="str">
        <f>IF(Sheet1!A23&lt;&gt;vbr_edits!A23,vbr_edits!A23,"")</f>
        <v/>
      </c>
      <c r="B23" t="str">
        <f>IF(Sheet1!B23&lt;&gt;vbr_edits!B23,vbr_edits!B23,"")</f>
        <v/>
      </c>
      <c r="C23" t="str">
        <f>IF(Sheet1!C23&lt;&gt;vbr_edits!C23,vbr_edits!C23,"")</f>
        <v/>
      </c>
      <c r="D23" t="str">
        <f>IF(Sheet1!D23&lt;&gt;vbr_edits!D23,vbr_edits!D23,"")</f>
        <v/>
      </c>
      <c r="E23" t="str">
        <f>IF(Sheet1!E23&lt;&gt;vbr_edits!E23,vbr_edits!E23,"")</f>
        <v/>
      </c>
      <c r="F23" t="str">
        <f>IF(Sheet1!F23&lt;&gt;vbr_edits!F23,vbr_edits!F23,"")</f>
        <v/>
      </c>
      <c r="G23" t="str">
        <f>IF(Sheet1!G23&lt;&gt;vbr_edits!G23,vbr_edits!G23,"")</f>
        <v/>
      </c>
      <c r="H23" t="str">
        <f>IF(Sheet1!H23&lt;&gt;vbr_edits!H23,vbr_edits!H23,"")</f>
        <v/>
      </c>
      <c r="I23" t="str">
        <f>IF(Sheet1!I23&lt;&gt;vbr_edits!I23,vbr_edits!I23,"")</f>
        <v/>
      </c>
      <c r="J23" t="str">
        <f>IF(Sheet1!J23&lt;&gt;vbr_edits!J23,vbr_edits!J23,"")</f>
        <v/>
      </c>
      <c r="K23" t="str">
        <f>IF(Sheet1!K23&lt;&gt;vbr_edits!K23,vbr_edits!K23,"")</f>
        <v/>
      </c>
      <c r="L23" t="str">
        <f>IF(Sheet1!L23&lt;&gt;vbr_edits!L23,vbr_edits!L23,"")</f>
        <v/>
      </c>
      <c r="M23" t="str">
        <f>IF(Sheet1!M23&lt;&gt;vbr_edits!M23,vbr_edits!M23,"")</f>
        <v/>
      </c>
      <c r="N23" t="str">
        <f>IF(Sheet1!N23&lt;&gt;vbr_edits!N23,vbr_edits!N23,"")</f>
        <v/>
      </c>
      <c r="O23" t="str">
        <f>IF(Sheet1!O23&lt;&gt;vbr_edits!O23,vbr_edits!O23,"")</f>
        <v/>
      </c>
      <c r="P23" t="str">
        <f>IF(Sheet1!P23&lt;&gt;vbr_edits!P23,vbr_edits!P23,"")</f>
        <v/>
      </c>
      <c r="Q23" t="str">
        <f>IF(Sheet1!Q23&lt;&gt;vbr_edits!Q23,vbr_edits!Q23,"")</f>
        <v/>
      </c>
      <c r="R23" t="str">
        <f>IF(Sheet1!R23&lt;&gt;vbr_edits!R23,vbr_edits!R23,"")</f>
        <v/>
      </c>
      <c r="S23" t="str">
        <f>IF(Sheet1!S23&lt;&gt;vbr_edits!S23,vbr_edits!S23,"")</f>
        <v/>
      </c>
    </row>
    <row r="24" spans="1:19" x14ac:dyDescent="0.2">
      <c r="A24" t="str">
        <f>IF(Sheet1!A24&lt;&gt;vbr_edits!A24,vbr_edits!A24,"")</f>
        <v/>
      </c>
      <c r="B24" t="str">
        <f>IF(Sheet1!B24&lt;&gt;vbr_edits!B24,vbr_edits!B24,"")</f>
        <v/>
      </c>
      <c r="C24" t="str">
        <f>IF(Sheet1!C24&lt;&gt;vbr_edits!C24,vbr_edits!C24,"")</f>
        <v/>
      </c>
      <c r="D24" t="str">
        <f>IF(Sheet1!D24&lt;&gt;vbr_edits!D24,vbr_edits!D24,"")</f>
        <v/>
      </c>
      <c r="E24" t="str">
        <f>IF(Sheet1!E24&lt;&gt;vbr_edits!E24,vbr_edits!E24,"")</f>
        <v/>
      </c>
      <c r="F24" t="str">
        <f>IF(Sheet1!F24&lt;&gt;vbr_edits!F24,vbr_edits!F24,"")</f>
        <v/>
      </c>
      <c r="G24" t="str">
        <f>IF(Sheet1!G24&lt;&gt;vbr_edits!G24,vbr_edits!G24,"")</f>
        <v/>
      </c>
      <c r="H24" t="str">
        <f>IF(Sheet1!H24&lt;&gt;vbr_edits!H24,vbr_edits!H24,"")</f>
        <v/>
      </c>
      <c r="I24" t="str">
        <f>IF(Sheet1!I24&lt;&gt;vbr_edits!I24,vbr_edits!I24,"")</f>
        <v/>
      </c>
      <c r="J24" t="str">
        <f>IF(Sheet1!J24&lt;&gt;vbr_edits!J24,vbr_edits!J24,"")</f>
        <v/>
      </c>
      <c r="K24" t="str">
        <f>IF(Sheet1!K24&lt;&gt;vbr_edits!K24,vbr_edits!K24,"")</f>
        <v/>
      </c>
      <c r="L24" t="str">
        <f>IF(Sheet1!L24&lt;&gt;vbr_edits!L24,vbr_edits!L24,"")</f>
        <v/>
      </c>
      <c r="M24" t="str">
        <f>IF(Sheet1!M24&lt;&gt;vbr_edits!M24,vbr_edits!M24,"")</f>
        <v/>
      </c>
      <c r="N24" t="str">
        <f>IF(Sheet1!N24&lt;&gt;vbr_edits!N24,vbr_edits!N24,"")</f>
        <v/>
      </c>
      <c r="O24" t="str">
        <f>IF(Sheet1!O24&lt;&gt;vbr_edits!O24,vbr_edits!O24,"")</f>
        <v/>
      </c>
      <c r="P24" t="str">
        <f>IF(Sheet1!P24&lt;&gt;vbr_edits!P24,vbr_edits!P24,"")</f>
        <v/>
      </c>
      <c r="Q24" t="str">
        <f>IF(Sheet1!Q24&lt;&gt;vbr_edits!Q24,vbr_edits!Q24,"")</f>
        <v/>
      </c>
      <c r="R24" t="str">
        <f>IF(Sheet1!R24&lt;&gt;vbr_edits!R24,vbr_edits!R24,"")</f>
        <v/>
      </c>
      <c r="S24" t="str">
        <f>IF(Sheet1!S24&lt;&gt;vbr_edits!S24,vbr_edits!S24,"")</f>
        <v/>
      </c>
    </row>
    <row r="25" spans="1:19" x14ac:dyDescent="0.2">
      <c r="A25" t="str">
        <f>IF(Sheet1!A25&lt;&gt;vbr_edits!A25,vbr_edits!A25,"")</f>
        <v/>
      </c>
      <c r="B25" t="str">
        <f>IF(Sheet1!B25&lt;&gt;vbr_edits!B25,vbr_edits!B25,"")</f>
        <v/>
      </c>
      <c r="C25" t="str">
        <f>IF(Sheet1!C25&lt;&gt;vbr_edits!C25,vbr_edits!C25,"")</f>
        <v/>
      </c>
      <c r="D25" t="str">
        <f>IF(Sheet1!D25&lt;&gt;vbr_edits!D25,vbr_edits!D25,"")</f>
        <v/>
      </c>
      <c r="E25" t="str">
        <f>IF(Sheet1!E25&lt;&gt;vbr_edits!E25,vbr_edits!E25,"")</f>
        <v/>
      </c>
      <c r="F25" t="str">
        <f>IF(Sheet1!F25&lt;&gt;vbr_edits!F25,vbr_edits!F25,"")</f>
        <v/>
      </c>
      <c r="G25" t="str">
        <f>IF(Sheet1!G25&lt;&gt;vbr_edits!G25,vbr_edits!G25,"")</f>
        <v/>
      </c>
      <c r="H25" t="str">
        <f>IF(Sheet1!H25&lt;&gt;vbr_edits!H25,vbr_edits!H25,"")</f>
        <v/>
      </c>
      <c r="I25" t="str">
        <f>IF(Sheet1!I25&lt;&gt;vbr_edits!I25,vbr_edits!I25,"")</f>
        <v/>
      </c>
      <c r="J25" t="str">
        <f>IF(Sheet1!J25&lt;&gt;vbr_edits!J25,vbr_edits!J25,"")</f>
        <v/>
      </c>
      <c r="K25" t="str">
        <f>IF(Sheet1!K25&lt;&gt;vbr_edits!K25,vbr_edits!K25,"")</f>
        <v/>
      </c>
      <c r="L25" t="str">
        <f>IF(Sheet1!L25&lt;&gt;vbr_edits!L25,vbr_edits!L25,"")</f>
        <v/>
      </c>
      <c r="M25" t="str">
        <f>IF(Sheet1!M25&lt;&gt;vbr_edits!M25,vbr_edits!M25,"")</f>
        <v/>
      </c>
      <c r="N25" t="str">
        <f>IF(Sheet1!N25&lt;&gt;vbr_edits!N25,vbr_edits!N25,"")</f>
        <v/>
      </c>
      <c r="O25" t="str">
        <f>IF(Sheet1!O25&lt;&gt;vbr_edits!O25,vbr_edits!O25,"")</f>
        <v/>
      </c>
      <c r="P25" t="str">
        <f>IF(Sheet1!P25&lt;&gt;vbr_edits!P25,vbr_edits!P25,"")</f>
        <v/>
      </c>
      <c r="Q25" t="str">
        <f>IF(Sheet1!Q25&lt;&gt;vbr_edits!Q25,vbr_edits!Q25,"")</f>
        <v/>
      </c>
      <c r="R25" t="str">
        <f>IF(Sheet1!R25&lt;&gt;vbr_edits!R25,vbr_edits!R25,"")</f>
        <v/>
      </c>
      <c r="S25" t="str">
        <f>IF(Sheet1!S25&lt;&gt;vbr_edits!S25,vbr_edits!S25,"")</f>
        <v/>
      </c>
    </row>
  </sheetData>
  <conditionalFormatting sqref="C2:R19">
    <cfRule type="containsText" dxfId="6" priority="3" operator="containsText" text="&quot;--same--&quot;">
      <formula>NOT(ISERROR(SEARCH("""--same--""",C2)))</formula>
    </cfRule>
    <cfRule type="cellIs" dxfId="7" priority="2" operator="equal">
      <formula>""""""</formula>
    </cfRule>
    <cfRule type="containsBlanks" dxfId="5" priority="1">
      <formula>LEN(TRIM(C2))=0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enableFormatConditionsCalculation="0">
    <pageSetUpPr fitToPage="1"/>
  </sheetPr>
  <dimension ref="A1:S18"/>
  <sheetViews>
    <sheetView workbookViewId="0">
      <selection activeCell="M9" sqref="M9"/>
    </sheetView>
  </sheetViews>
  <sheetFormatPr baseColWidth="10" defaultRowHeight="21" x14ac:dyDescent="0.25"/>
  <cols>
    <col min="1" max="1" width="43.6640625" style="8" bestFit="1" customWidth="1"/>
    <col min="2" max="19" width="7.5" style="8" customWidth="1"/>
    <col min="20" max="16384" width="10.83203125" style="8"/>
  </cols>
  <sheetData>
    <row r="1" spans="1:19" x14ac:dyDescent="0.25">
      <c r="B1" s="11">
        <v>1</v>
      </c>
      <c r="C1" s="11">
        <v>2</v>
      </c>
      <c r="D1" s="11">
        <v>3</v>
      </c>
      <c r="E1" s="11">
        <v>4</v>
      </c>
      <c r="F1" s="11">
        <v>5</v>
      </c>
      <c r="G1" s="11">
        <v>6</v>
      </c>
      <c r="H1" s="11">
        <v>7</v>
      </c>
      <c r="I1" s="11">
        <v>8</v>
      </c>
      <c r="J1" s="11">
        <v>9</v>
      </c>
      <c r="K1" s="11">
        <v>10</v>
      </c>
      <c r="L1" s="11">
        <v>11</v>
      </c>
      <c r="M1" s="11">
        <v>12</v>
      </c>
      <c r="N1" s="11">
        <v>13</v>
      </c>
      <c r="O1" s="11">
        <v>14</v>
      </c>
      <c r="P1" s="11">
        <v>15</v>
      </c>
      <c r="Q1" s="11">
        <v>16</v>
      </c>
      <c r="R1" s="11">
        <v>17</v>
      </c>
      <c r="S1" s="11">
        <v>18</v>
      </c>
    </row>
    <row r="2" spans="1:19" ht="25" customHeight="1" x14ac:dyDescent="0.25">
      <c r="A2" s="9" t="s">
        <v>89</v>
      </c>
      <c r="B2" s="10">
        <v>0</v>
      </c>
      <c r="C2" s="10">
        <v>0</v>
      </c>
      <c r="D2" s="10">
        <v>0</v>
      </c>
      <c r="E2" s="10">
        <v>0</v>
      </c>
      <c r="F2" s="10">
        <v>0</v>
      </c>
      <c r="G2" s="10">
        <v>0</v>
      </c>
      <c r="H2" s="10">
        <v>0</v>
      </c>
      <c r="I2" s="10">
        <v>0</v>
      </c>
      <c r="J2" s="10">
        <v>0</v>
      </c>
      <c r="K2" s="10">
        <v>0</v>
      </c>
      <c r="L2" s="10">
        <v>0</v>
      </c>
      <c r="M2" s="10">
        <v>0</v>
      </c>
      <c r="N2" s="10">
        <v>0</v>
      </c>
      <c r="O2" s="10">
        <v>0</v>
      </c>
      <c r="P2" s="10">
        <v>0</v>
      </c>
      <c r="Q2" s="10">
        <v>0</v>
      </c>
      <c r="R2" s="10">
        <v>0</v>
      </c>
      <c r="S2" s="10">
        <v>0</v>
      </c>
    </row>
    <row r="3" spans="1:19" ht="25" customHeight="1" x14ac:dyDescent="0.25">
      <c r="A3" s="9" t="s">
        <v>90</v>
      </c>
      <c r="B3" s="10">
        <v>0</v>
      </c>
      <c r="C3" s="10">
        <v>0</v>
      </c>
      <c r="D3" s="10">
        <v>0</v>
      </c>
      <c r="E3" s="10">
        <v>0</v>
      </c>
      <c r="F3" s="10">
        <v>0</v>
      </c>
      <c r="G3" s="10">
        <v>0</v>
      </c>
      <c r="H3" s="10">
        <v>0</v>
      </c>
      <c r="I3" s="10">
        <v>0</v>
      </c>
      <c r="J3" s="10">
        <v>0</v>
      </c>
      <c r="K3" s="10">
        <v>0</v>
      </c>
      <c r="L3" s="10">
        <v>0</v>
      </c>
      <c r="M3" s="10">
        <v>0</v>
      </c>
      <c r="N3" s="10">
        <v>0</v>
      </c>
      <c r="O3" s="10">
        <v>0</v>
      </c>
      <c r="P3" s="10">
        <v>0</v>
      </c>
      <c r="Q3" s="10">
        <v>0</v>
      </c>
      <c r="R3" s="10">
        <v>0</v>
      </c>
      <c r="S3" s="10">
        <v>0</v>
      </c>
    </row>
    <row r="4" spans="1:19" ht="25" customHeight="1" x14ac:dyDescent="0.25">
      <c r="A4" s="9" t="s">
        <v>91</v>
      </c>
      <c r="B4" s="10">
        <v>0</v>
      </c>
      <c r="C4" s="10">
        <v>0</v>
      </c>
      <c r="D4" s="10">
        <v>0</v>
      </c>
      <c r="E4" s="10">
        <v>0</v>
      </c>
      <c r="F4" s="10">
        <v>0</v>
      </c>
      <c r="G4" s="10">
        <v>0</v>
      </c>
      <c r="H4" s="10">
        <v>0</v>
      </c>
      <c r="I4" s="10">
        <v>0</v>
      </c>
      <c r="J4" s="10">
        <v>0</v>
      </c>
      <c r="K4" s="10">
        <v>0</v>
      </c>
      <c r="L4" s="10">
        <v>0</v>
      </c>
      <c r="M4" s="10">
        <v>0</v>
      </c>
      <c r="N4" s="10">
        <v>0</v>
      </c>
      <c r="O4" s="10">
        <v>0</v>
      </c>
      <c r="P4" s="10">
        <v>0</v>
      </c>
      <c r="Q4" s="10">
        <v>0</v>
      </c>
      <c r="R4" s="10">
        <v>0</v>
      </c>
      <c r="S4" s="10">
        <v>0</v>
      </c>
    </row>
    <row r="5" spans="1:19" ht="25" customHeight="1" x14ac:dyDescent="0.25">
      <c r="A5" s="9" t="s">
        <v>92</v>
      </c>
      <c r="B5" s="10">
        <v>0</v>
      </c>
      <c r="C5" s="10">
        <v>0</v>
      </c>
      <c r="D5" s="10">
        <v>0</v>
      </c>
      <c r="E5" s="10">
        <v>0</v>
      </c>
      <c r="F5" s="10">
        <v>0</v>
      </c>
      <c r="G5" s="10">
        <v>0</v>
      </c>
      <c r="H5" s="10">
        <v>0</v>
      </c>
      <c r="I5" s="10">
        <v>0</v>
      </c>
      <c r="J5" s="10">
        <v>0</v>
      </c>
      <c r="K5" s="10">
        <v>0</v>
      </c>
      <c r="L5" s="10">
        <v>0</v>
      </c>
      <c r="M5" s="10">
        <v>0</v>
      </c>
      <c r="N5" s="10">
        <v>0</v>
      </c>
      <c r="O5" s="10">
        <v>0</v>
      </c>
      <c r="P5" s="10">
        <v>0</v>
      </c>
      <c r="Q5" s="10">
        <v>0</v>
      </c>
      <c r="R5" s="10">
        <v>0</v>
      </c>
      <c r="S5" s="10">
        <v>0</v>
      </c>
    </row>
    <row r="6" spans="1:19" ht="25" customHeight="1" x14ac:dyDescent="0.25">
      <c r="A6" s="9" t="s">
        <v>93</v>
      </c>
      <c r="B6" s="10">
        <v>0</v>
      </c>
      <c r="C6" s="10">
        <v>0</v>
      </c>
      <c r="D6" s="10">
        <v>0</v>
      </c>
      <c r="E6" s="10">
        <v>0</v>
      </c>
      <c r="F6" s="10">
        <v>0</v>
      </c>
      <c r="G6" s="10">
        <v>0</v>
      </c>
      <c r="H6" s="10">
        <v>0</v>
      </c>
      <c r="I6" s="10">
        <v>0</v>
      </c>
      <c r="J6" s="10">
        <v>0</v>
      </c>
      <c r="K6" s="10">
        <v>0</v>
      </c>
      <c r="L6" s="10">
        <v>0</v>
      </c>
      <c r="M6" s="10">
        <v>0</v>
      </c>
      <c r="N6" s="10">
        <v>0</v>
      </c>
      <c r="O6" s="10">
        <v>0</v>
      </c>
      <c r="P6" s="10">
        <v>0</v>
      </c>
      <c r="Q6" s="10">
        <v>0</v>
      </c>
      <c r="R6" s="10">
        <v>0</v>
      </c>
      <c r="S6" s="10">
        <v>0</v>
      </c>
    </row>
    <row r="7" spans="1:19" ht="25" customHeight="1" x14ac:dyDescent="0.25">
      <c r="A7" s="9" t="s">
        <v>94</v>
      </c>
      <c r="B7" s="10">
        <v>0</v>
      </c>
      <c r="C7" s="10">
        <v>0</v>
      </c>
      <c r="D7" s="10">
        <v>0</v>
      </c>
      <c r="E7" s="10">
        <v>0</v>
      </c>
      <c r="F7" s="10">
        <v>0</v>
      </c>
      <c r="G7" s="10">
        <v>0</v>
      </c>
      <c r="H7" s="10">
        <v>0</v>
      </c>
      <c r="I7" s="10">
        <v>0</v>
      </c>
      <c r="J7" s="10">
        <v>0</v>
      </c>
      <c r="K7" s="10">
        <v>0</v>
      </c>
      <c r="L7" s="10">
        <v>0</v>
      </c>
      <c r="M7" s="10">
        <v>0</v>
      </c>
      <c r="N7" s="10">
        <v>0</v>
      </c>
      <c r="O7" s="10">
        <v>0</v>
      </c>
      <c r="P7" s="10">
        <v>0</v>
      </c>
      <c r="Q7" s="10">
        <v>0</v>
      </c>
      <c r="R7" s="10">
        <v>0</v>
      </c>
      <c r="S7" s="10">
        <v>0</v>
      </c>
    </row>
    <row r="8" spans="1:19" ht="25" customHeight="1" x14ac:dyDescent="0.25">
      <c r="A8" s="9" t="s">
        <v>95</v>
      </c>
      <c r="B8" s="10">
        <v>0</v>
      </c>
      <c r="C8" s="10">
        <v>0</v>
      </c>
      <c r="D8" s="10">
        <v>0</v>
      </c>
      <c r="E8" s="10">
        <v>0</v>
      </c>
      <c r="F8" s="10">
        <v>0</v>
      </c>
      <c r="G8" s="10">
        <v>0</v>
      </c>
      <c r="H8" s="10">
        <v>0</v>
      </c>
      <c r="I8" s="10">
        <v>0</v>
      </c>
      <c r="J8" s="10">
        <v>0</v>
      </c>
      <c r="K8" s="10">
        <v>0</v>
      </c>
      <c r="L8" s="10">
        <v>0</v>
      </c>
      <c r="M8" s="10">
        <v>0</v>
      </c>
      <c r="N8" s="10">
        <v>0</v>
      </c>
      <c r="O8" s="10">
        <v>0</v>
      </c>
      <c r="P8" s="10">
        <v>0</v>
      </c>
      <c r="Q8" s="10">
        <v>0</v>
      </c>
      <c r="R8" s="10">
        <v>0</v>
      </c>
      <c r="S8" s="10">
        <v>0</v>
      </c>
    </row>
    <row r="9" spans="1:19" ht="25" customHeight="1" x14ac:dyDescent="0.25">
      <c r="A9" s="9" t="s">
        <v>96</v>
      </c>
      <c r="B9" s="10">
        <v>0</v>
      </c>
      <c r="C9" s="10">
        <v>0</v>
      </c>
      <c r="D9" s="10">
        <v>0</v>
      </c>
      <c r="E9" s="10">
        <v>0</v>
      </c>
      <c r="F9" s="10">
        <v>0</v>
      </c>
      <c r="G9" s="10">
        <v>0</v>
      </c>
      <c r="H9" s="10">
        <v>0</v>
      </c>
      <c r="I9" s="10">
        <v>0</v>
      </c>
      <c r="J9" s="10">
        <v>0</v>
      </c>
      <c r="K9" s="10">
        <v>0</v>
      </c>
      <c r="L9" s="10">
        <v>0</v>
      </c>
      <c r="M9" s="10">
        <v>0</v>
      </c>
      <c r="N9" s="10">
        <v>0</v>
      </c>
      <c r="O9" s="10">
        <v>0</v>
      </c>
      <c r="P9" s="10">
        <v>0</v>
      </c>
      <c r="Q9" s="10">
        <v>0</v>
      </c>
      <c r="R9" s="10">
        <v>0</v>
      </c>
      <c r="S9" s="10">
        <v>0</v>
      </c>
    </row>
    <row r="10" spans="1:19" ht="25" customHeight="1" x14ac:dyDescent="0.25">
      <c r="A10" s="9" t="s">
        <v>97</v>
      </c>
      <c r="B10" s="10">
        <v>0</v>
      </c>
      <c r="C10" s="10">
        <v>0</v>
      </c>
      <c r="D10" s="10">
        <v>0</v>
      </c>
      <c r="E10" s="10">
        <v>0</v>
      </c>
      <c r="F10" s="10">
        <v>0</v>
      </c>
      <c r="G10" s="10">
        <v>0</v>
      </c>
      <c r="H10" s="10">
        <v>0</v>
      </c>
      <c r="I10" s="10">
        <v>0</v>
      </c>
      <c r="J10" s="10">
        <v>0</v>
      </c>
      <c r="K10" s="10">
        <v>0</v>
      </c>
      <c r="L10" s="10">
        <v>0</v>
      </c>
      <c r="M10" s="10">
        <v>0</v>
      </c>
      <c r="N10" s="10">
        <v>0</v>
      </c>
      <c r="O10" s="10">
        <v>0</v>
      </c>
      <c r="P10" s="10">
        <v>0</v>
      </c>
      <c r="Q10" s="10">
        <v>0</v>
      </c>
      <c r="R10" s="10">
        <v>0</v>
      </c>
      <c r="S10" s="10">
        <v>0</v>
      </c>
    </row>
    <row r="11" spans="1:19" ht="25" customHeight="1" x14ac:dyDescent="0.25">
      <c r="A11" s="9" t="s">
        <v>98</v>
      </c>
      <c r="B11" s="10">
        <v>0</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row>
    <row r="12" spans="1:19" ht="25" customHeight="1" x14ac:dyDescent="0.25">
      <c r="A12" s="9" t="s">
        <v>99</v>
      </c>
      <c r="B12" s="10">
        <v>0</v>
      </c>
      <c r="C12" s="10">
        <v>0</v>
      </c>
      <c r="D12" s="10">
        <v>0</v>
      </c>
      <c r="E12" s="10">
        <v>0</v>
      </c>
      <c r="F12" s="10">
        <v>0</v>
      </c>
      <c r="G12" s="10">
        <v>0</v>
      </c>
      <c r="H12" s="10">
        <v>0</v>
      </c>
      <c r="I12" s="10">
        <v>0</v>
      </c>
      <c r="J12" s="10">
        <v>0</v>
      </c>
      <c r="K12" s="10">
        <v>0</v>
      </c>
      <c r="L12" s="10">
        <v>0</v>
      </c>
      <c r="M12" s="10">
        <v>0</v>
      </c>
      <c r="N12" s="10">
        <v>0</v>
      </c>
      <c r="O12" s="10">
        <v>0</v>
      </c>
      <c r="P12" s="10">
        <v>0</v>
      </c>
      <c r="Q12" s="10">
        <v>0</v>
      </c>
      <c r="R12" s="10">
        <v>0</v>
      </c>
      <c r="S12" s="10">
        <v>0</v>
      </c>
    </row>
    <row r="13" spans="1:19" ht="25" customHeight="1" x14ac:dyDescent="0.25">
      <c r="A13" s="9" t="s">
        <v>100</v>
      </c>
      <c r="B13" s="10">
        <v>0</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row>
    <row r="14" spans="1:19" ht="25" customHeight="1" x14ac:dyDescent="0.25">
      <c r="A14" s="9" t="s">
        <v>101</v>
      </c>
      <c r="B14" s="10">
        <v>0</v>
      </c>
      <c r="C14" s="10">
        <v>0</v>
      </c>
      <c r="D14" s="10">
        <v>0</v>
      </c>
      <c r="E14" s="10">
        <v>0</v>
      </c>
      <c r="F14" s="10">
        <v>0</v>
      </c>
      <c r="G14" s="10">
        <v>0</v>
      </c>
      <c r="H14" s="10">
        <v>0</v>
      </c>
      <c r="I14" s="10">
        <v>0</v>
      </c>
      <c r="J14" s="10">
        <v>0</v>
      </c>
      <c r="K14" s="10">
        <v>0</v>
      </c>
      <c r="L14" s="10">
        <v>0</v>
      </c>
      <c r="M14" s="10">
        <v>0</v>
      </c>
      <c r="N14" s="10">
        <v>0</v>
      </c>
      <c r="O14" s="10">
        <v>0</v>
      </c>
      <c r="P14" s="10">
        <v>0</v>
      </c>
      <c r="Q14" s="10">
        <v>0</v>
      </c>
      <c r="R14" s="10">
        <v>0</v>
      </c>
      <c r="S14" s="10">
        <v>0</v>
      </c>
    </row>
    <row r="15" spans="1:19" ht="25" customHeight="1" x14ac:dyDescent="0.25">
      <c r="A15" s="9" t="s">
        <v>102</v>
      </c>
      <c r="B15" s="10">
        <v>0</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row>
    <row r="16" spans="1:19" ht="25" customHeight="1" x14ac:dyDescent="0.25">
      <c r="A16" s="9" t="s">
        <v>103</v>
      </c>
      <c r="B16" s="10">
        <v>0</v>
      </c>
      <c r="C16" s="10">
        <v>0</v>
      </c>
      <c r="D16" s="10">
        <v>0</v>
      </c>
      <c r="E16" s="10">
        <v>0</v>
      </c>
      <c r="F16" s="10">
        <v>0</v>
      </c>
      <c r="G16" s="10">
        <v>0</v>
      </c>
      <c r="H16" s="10">
        <v>0</v>
      </c>
      <c r="I16" s="10">
        <v>0</v>
      </c>
      <c r="J16" s="10">
        <v>0</v>
      </c>
      <c r="K16" s="10">
        <v>0</v>
      </c>
      <c r="L16" s="10">
        <v>0</v>
      </c>
      <c r="M16" s="10">
        <v>0</v>
      </c>
      <c r="N16" s="10">
        <v>0</v>
      </c>
      <c r="O16" s="10">
        <v>0</v>
      </c>
      <c r="P16" s="10">
        <v>0</v>
      </c>
      <c r="Q16" s="10">
        <v>0</v>
      </c>
      <c r="R16" s="10">
        <v>0</v>
      </c>
      <c r="S16" s="10">
        <v>0</v>
      </c>
    </row>
    <row r="17" spans="1:19" ht="25" customHeight="1" x14ac:dyDescent="0.25">
      <c r="A17" s="9" t="s">
        <v>104</v>
      </c>
      <c r="B17" s="10">
        <v>0</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row>
    <row r="18" spans="1:19" ht="25" customHeight="1" x14ac:dyDescent="0.25">
      <c r="A18" s="9" t="s">
        <v>105</v>
      </c>
      <c r="B18" s="10">
        <v>0</v>
      </c>
      <c r="C18" s="10">
        <v>0</v>
      </c>
      <c r="D18" s="10">
        <v>0</v>
      </c>
      <c r="E18" s="10">
        <v>0</v>
      </c>
      <c r="F18" s="10">
        <v>0</v>
      </c>
      <c r="G18" s="10">
        <v>0</v>
      </c>
      <c r="H18" s="10">
        <v>0</v>
      </c>
      <c r="I18" s="10">
        <v>0</v>
      </c>
      <c r="J18" s="10">
        <v>0</v>
      </c>
      <c r="K18" s="10">
        <v>0</v>
      </c>
      <c r="L18" s="10">
        <v>0</v>
      </c>
      <c r="M18" s="10">
        <v>0</v>
      </c>
      <c r="N18" s="10">
        <v>0</v>
      </c>
      <c r="O18" s="10">
        <v>0</v>
      </c>
      <c r="P18" s="10">
        <v>0</v>
      </c>
      <c r="Q18" s="10">
        <v>0</v>
      </c>
      <c r="R18" s="10">
        <v>0</v>
      </c>
      <c r="S18" s="10">
        <v>0</v>
      </c>
    </row>
  </sheetData>
  <phoneticPr fontId="24" type="noConversion"/>
  <conditionalFormatting sqref="B2:S18">
    <cfRule type="iconSet" priority="1">
      <iconSet iconSet="3Symbols2">
        <cfvo type="percent" val="0"/>
        <cfvo type="num" val="0" gte="0"/>
        <cfvo type="num" val="1"/>
      </iconSet>
    </cfRule>
  </conditionalFormatting>
  <printOptions horizontalCentered="1" verticalCentered="1"/>
  <pageMargins left="0.7" right="0.7" top="0.75" bottom="0.75" header="0.3" footer="0.3"/>
  <pageSetup paperSize="9" scale="6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vbr_edits</vt:lpstr>
      <vt:lpstr>comparison</vt:lpstr>
      <vt:lpstr>checklist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GALEA, Gauden</dc:creator>
  <cp:lastModifiedBy>Microsoft Office User</cp:lastModifiedBy>
  <cp:lastPrinted>2015-08-09T07:27:19Z</cp:lastPrinted>
  <dcterms:created xsi:type="dcterms:W3CDTF">2015-08-05T08:49:38Z</dcterms:created>
  <dcterms:modified xsi:type="dcterms:W3CDTF">2015-08-12T05:34:42Z</dcterms:modified>
</cp:coreProperties>
</file>