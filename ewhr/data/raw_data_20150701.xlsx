
<file path=[Content_Types].xml><?xml version="1.0" encoding="utf-8"?>
<Types xmlns="http://schemas.openxmlformats.org/package/2006/content-types">
  <Default Extension="xml" ContentType="application/xml"/>
  <Default Extension="bin" ContentType="application/vnd.openxmlformats-officedocument.spreadsheetml.printerSettings"/>
  <Default Extension="rels" ContentType="application/vnd.openxmlformats-package.relationships+xml"/>
  <Default Extension="emf" ContentType="image/x-em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5.xml" ContentType="application/vnd.openxmlformats-officedocument.drawing+xml"/>
  <Override PartName="/xl/charts/chart14.xml" ContentType="application/vnd.openxmlformats-officedocument.drawingml.chart+xml"/>
  <Override PartName="/xl/drawings/drawing6.xml" ContentType="application/vnd.openxmlformats-officedocument.drawing+xml"/>
  <Override PartName="/xl/charts/chart15.xml" ContentType="application/vnd.openxmlformats-officedocument.drawingml.chart+xml"/>
  <Override PartName="/xl/drawings/drawing7.xml" ContentType="application/vnd.openxmlformats-officedocument.drawing+xml"/>
  <Override PartName="/xl/charts/chart16.xml" ContentType="application/vnd.openxmlformats-officedocument.drawingml.chart+xml"/>
  <Override PartName="/xl/drawings/drawing8.xml" ContentType="application/vnd.openxmlformats-officedocument.drawing+xml"/>
  <Override PartName="/xl/charts/chart17.xml" ContentType="application/vnd.openxmlformats-officedocument.drawingml.chart+xml"/>
  <Override PartName="/xl/drawings/drawing9.xml" ContentType="application/vnd.openxmlformats-officedocument.drawing+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drawings/drawing11.xml" ContentType="application/vnd.openxmlformats-officedocument.drawing+xml"/>
  <Override PartName="/xl/charts/chart20.xml" ContentType="application/vnd.openxmlformats-officedocument.drawingml.chart+xml"/>
  <Override PartName="/xl/drawings/drawing12.xml" ContentType="application/vnd.openxmlformats-officedocument.drawing+xml"/>
  <Override PartName="/xl/charts/chart21.xml" ContentType="application/vnd.openxmlformats-officedocument.drawingml.chart+xml"/>
  <Override PartName="/xl/drawings/drawing13.xml" ContentType="application/vnd.openxmlformats-officedocument.drawing+xml"/>
  <Override PartName="/xl/charts/chart22.xml" ContentType="application/vnd.openxmlformats-officedocument.drawingml.chart+xml"/>
  <Override PartName="/xl/drawings/drawing14.xml" ContentType="application/vnd.openxmlformats-officedocument.drawing+xml"/>
  <Override PartName="/xl/charts/chart23.xml" ContentType="application/vnd.openxmlformats-officedocument.drawingml.chart+xml"/>
  <Override PartName="/xl/drawings/drawing15.xml" ContentType="application/vnd.openxmlformats-officedocument.drawing+xml"/>
  <Override PartName="/xl/charts/chart24.xml" ContentType="application/vnd.openxmlformats-officedocument.drawingml.chart+xml"/>
  <Override PartName="/xl/drawings/drawing16.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7.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8.xml" ContentType="application/vnd.openxmlformats-officedocument.drawing+xml"/>
  <Override PartName="/xl/charts/chart29.xml" ContentType="application/vnd.openxmlformats-officedocument.drawingml.chart+xml"/>
  <Override PartName="/xl/drawings/drawing19.xml" ContentType="application/vnd.openxmlformats-officedocument.drawing+xml"/>
  <Override PartName="/xl/charts/chart30.xml" ContentType="application/vnd.openxmlformats-officedocument.drawingml.chart+xml"/>
  <Override PartName="/xl/drawings/drawing20.xml" ContentType="application/vnd.openxmlformats-officedocument.drawing+xml"/>
  <Override PartName="/xl/charts/chart31.xml" ContentType="application/vnd.openxmlformats-officedocument.drawingml.chart+xml"/>
  <Override PartName="/xl/drawings/drawing21.xml" ContentType="application/vnd.openxmlformats-officedocument.drawing+xml"/>
  <Override PartName="/xl/charts/chart32.xml" ContentType="application/vnd.openxmlformats-officedocument.drawingml.chart+xml"/>
  <Override PartName="/xl/drawings/drawing22.xml" ContentType="application/vnd.openxmlformats-officedocument.drawing+xml"/>
  <Override PartName="/xl/charts/chart33.xml" ContentType="application/vnd.openxmlformats-officedocument.drawingml.chart+xml"/>
  <Override PartName="/xl/drawings/drawing23.xml" ContentType="application/vnd.openxmlformats-officedocument.drawing+xml"/>
  <Override PartName="/xl/charts/chart34.xml" ContentType="application/vnd.openxmlformats-officedocument.drawingml.chart+xml"/>
  <Override PartName="/xl/drawings/drawing24.xml" ContentType="application/vnd.openxmlformats-officedocument.drawing+xml"/>
  <Override PartName="/xl/charts/chart35.xml" ContentType="application/vnd.openxmlformats-officedocument.drawingml.chart+xml"/>
  <Override PartName="/xl/drawings/drawing25.xml" ContentType="application/vnd.openxmlformats-officedocument.drawing+xml"/>
  <Override PartName="/xl/charts/chart36.xml" ContentType="application/vnd.openxmlformats-officedocument.drawingml.chart+xml"/>
  <Override PartName="/xl/drawings/drawing26.xml" ContentType="application/vnd.openxmlformats-officedocument.drawing+xml"/>
  <Override PartName="/xl/charts/chart37.xml" ContentType="application/vnd.openxmlformats-officedocument.drawingml.chart+xml"/>
  <Override PartName="/xl/drawings/drawing27.xml" ContentType="application/vnd.openxmlformats-officedocument.drawing+xml"/>
  <Override PartName="/xl/charts/chart38.xml" ContentType="application/vnd.openxmlformats-officedocument.drawingml.chart+xml"/>
  <Override PartName="/xl/drawings/drawing28.xml" ContentType="application/vnd.openxmlformats-officedocument.drawing+xml"/>
  <Override PartName="/xl/charts/chart39.xml" ContentType="application/vnd.openxmlformats-officedocument.drawingml.chart+xml"/>
  <Override PartName="/xl/drawings/drawing29.xml" ContentType="application/vnd.openxmlformats-officedocument.drawing+xml"/>
  <Override PartName="/xl/charts/chart40.xml" ContentType="application/vnd.openxmlformats-officedocument.drawingml.chart+xml"/>
  <Override PartName="/xl/drawings/drawing30.xml" ContentType="application/vnd.openxmlformats-officedocument.drawing+xml"/>
  <Override PartName="/xl/charts/chart41.xml" ContentType="application/vnd.openxmlformats-officedocument.drawingml.chart+xml"/>
  <Override PartName="/xl/drawings/drawing31.xml" ContentType="application/vnd.openxmlformats-officedocument.drawing+xml"/>
  <Override PartName="/xl/charts/chart42.xml" ContentType="application/vnd.openxmlformats-officedocument.drawingml.chart+xml"/>
  <Override PartName="/xl/drawings/drawing32.xml" ContentType="application/vnd.openxmlformats-officedocument.drawing+xml"/>
  <Override PartName="/xl/charts/chart43.xml" ContentType="application/vnd.openxmlformats-officedocument.drawingml.chart+xml"/>
  <Override PartName="/xl/drawings/drawing33.xml" ContentType="application/vnd.openxmlformats-officedocument.drawing+xml"/>
  <Override PartName="/xl/charts/chart44.xml" ContentType="application/vnd.openxmlformats-officedocument.drawingml.chart+xml"/>
  <Override PartName="/xl/drawings/drawing34.xml" ContentType="application/vnd.openxmlformats-officedocument.drawing+xml"/>
  <Override PartName="/xl/charts/chart45.xml" ContentType="application/vnd.openxmlformats-officedocument.drawingml.chart+xml"/>
  <Override PartName="/xl/drawings/drawing35.xml" ContentType="application/vnd.openxmlformats-officedocument.drawing+xml"/>
  <Override PartName="/xl/charts/chart46.xml" ContentType="application/vnd.openxmlformats-officedocument.drawingml.chart+xml"/>
  <Override PartName="/xl/drawings/drawing36.xml" ContentType="application/vnd.openxmlformats-officedocument.drawing+xml"/>
  <Override PartName="/xl/charts/chart47.xml" ContentType="application/vnd.openxmlformats-officedocument.drawingml.chart+xml"/>
  <Override PartName="/xl/drawings/drawing37.xml" ContentType="application/vnd.openxmlformats-officedocument.drawing+xml"/>
  <Override PartName="/xl/charts/chart48.xml" ContentType="application/vnd.openxmlformats-officedocument.drawingml.chart+xml"/>
  <Override PartName="/xl/charts/chart49.xml" ContentType="application/vnd.openxmlformats-officedocument.drawingml.chart+xml"/>
  <Override PartName="/xl/drawings/drawing38.xml" ContentType="application/vnd.openxmlformats-officedocument.drawing+xml"/>
  <Override PartName="/xl/charts/chart50.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charts/chart51.xml" ContentType="application/vnd.openxmlformats-officedocument.drawingml.chart+xml"/>
  <Override PartName="/xl/drawings/drawing42.xml" ContentType="application/vnd.openxmlformats-officedocument.drawing+xml"/>
  <Override PartName="/xl/charts/chart5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6124"/>
  <workbookPr autoCompressPictures="0"/>
  <mc:AlternateContent xmlns:mc="http://schemas.openxmlformats.org/markup-compatibility/2006">
    <mc:Choice Requires="x15">
      <x15ac:absPath xmlns:x15ac="http://schemas.microsoft.com/office/spreadsheetml/2010/11/ac" url="/Users/gauden/Documents/dev/ewhr/ewhr/data/"/>
    </mc:Choice>
  </mc:AlternateContent>
  <bookViews>
    <workbookView xWindow="0" yWindow="0" windowWidth="25600" windowHeight="16000" firstSheet="35" activeTab="46"/>
  </bookViews>
  <sheets>
    <sheet name="Figure 1" sheetId="41" r:id="rId1"/>
    <sheet name="Figure 2" sheetId="23" r:id="rId2"/>
    <sheet name="DataFig3Macro" sheetId="60" r:id="rId3"/>
    <sheet name="Figure3" sheetId="58" r:id="rId4"/>
    <sheet name="Figure4" sheetId="39" r:id="rId5"/>
    <sheet name="Figure5" sheetId="21" r:id="rId6"/>
    <sheet name="Figure6" sheetId="43" r:id="rId7"/>
    <sheet name="Figure7" sheetId="44" r:id="rId8"/>
    <sheet name="Figure8" sheetId="20" r:id="rId9"/>
    <sheet name="Figure9" sheetId="19" r:id="rId10"/>
    <sheet name="Figure10" sheetId="12" r:id="rId11"/>
    <sheet name="Figure11" sheetId="16" r:id="rId12"/>
    <sheet name="Figure12" sheetId="17" r:id="rId13"/>
    <sheet name="Figure13" sheetId="14" r:id="rId14"/>
    <sheet name="Figure14" sheetId="13" r:id="rId15"/>
    <sheet name="Figure15" sheetId="1" r:id="rId16"/>
    <sheet name="Figure16a16b" sheetId="45" r:id="rId17"/>
    <sheet name="Figure17a17b" sheetId="46" r:id="rId18"/>
    <sheet name="Figure18" sheetId="54" r:id="rId19"/>
    <sheet name="Figure19" sheetId="55" r:id="rId20"/>
    <sheet name="Figure 20" sheetId="7" r:id="rId21"/>
    <sheet name="DataFig21Macro" sheetId="61" r:id="rId22"/>
    <sheet name="Figure21" sheetId="59" r:id="rId23"/>
    <sheet name="Figure22" sheetId="5" r:id="rId24"/>
    <sheet name="Figure23" sheetId="27" r:id="rId25"/>
    <sheet name="Figure24" sheetId="11" r:id="rId26"/>
    <sheet name="Figure25" sheetId="29" r:id="rId27"/>
    <sheet name="Figure26" sheetId="30" r:id="rId28"/>
    <sheet name="Figure27a" sheetId="36" r:id="rId29"/>
    <sheet name="Figure27b" sheetId="31" r:id="rId30"/>
    <sheet name="Figure27c" sheetId="37" r:id="rId31"/>
    <sheet name="Figure28" sheetId="33" r:id="rId32"/>
    <sheet name="Figure29" sheetId="34" r:id="rId33"/>
    <sheet name="DataFig30Macro" sheetId="35" r:id="rId34"/>
    <sheet name="Figure30" sheetId="62" r:id="rId35"/>
    <sheet name="Figure31a" sheetId="32" r:id="rId36"/>
    <sheet name="Figure31b" sheetId="48" r:id="rId37"/>
    <sheet name="Figure32" sheetId="49" r:id="rId38"/>
    <sheet name="Figure33" sheetId="51" r:id="rId39"/>
    <sheet name="Figure34" sheetId="50" r:id="rId40"/>
    <sheet name="Figure35" sheetId="52" r:id="rId41"/>
    <sheet name="Figure36" sheetId="56" r:id="rId42"/>
    <sheet name="Figure37" sheetId="57" r:id="rId43"/>
    <sheet name="Figure38" sheetId="53" r:id="rId44"/>
    <sheet name="Annex5.1Table 5.1.1" sheetId="42" r:id="rId45"/>
    <sheet name="Annex5.2 Fig 5.2.1" sheetId="4" r:id="rId46"/>
    <sheet name="UNICEF_SOWC_2015_ado" sheetId="64"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_xlnm._FilterDatabase" localSheetId="44" hidden="1">'Annex5.1Table 5.1.1'!$A$2:$C$2</definedName>
    <definedName name="_xlnm._FilterDatabase" localSheetId="0" hidden="1">'Figure 1'!$A$2:$B$2</definedName>
    <definedName name="_xlnm._FilterDatabase" localSheetId="22" hidden="1">Figure21!$A$1:$C$1</definedName>
    <definedName name="_xlnm._FilterDatabase" localSheetId="36" hidden="1">Figure31b!$A$7:$L$7</definedName>
    <definedName name="_xlnm._FilterDatabase" localSheetId="6" hidden="1">Figure6!$A$20:$E$69</definedName>
    <definedName name="_xlnm.Database">#N/A</definedName>
  </definedNames>
  <calcPr calcId="15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G55" i="42" l="1"/>
  <c r="D55" i="42"/>
  <c r="G54" i="42"/>
  <c r="D54" i="42"/>
  <c r="H54" i="42"/>
  <c r="G53" i="42"/>
  <c r="H53" i="42"/>
  <c r="D53" i="42"/>
  <c r="G52" i="42"/>
  <c r="D52" i="42"/>
  <c r="G51" i="42"/>
  <c r="H51" i="42"/>
  <c r="D51" i="42"/>
  <c r="G50" i="42"/>
  <c r="D50" i="42"/>
  <c r="G49" i="42"/>
  <c r="D49" i="42"/>
  <c r="G48" i="42"/>
  <c r="H48" i="42"/>
  <c r="D48" i="42"/>
  <c r="G47" i="42"/>
  <c r="D47" i="42"/>
  <c r="H47" i="42"/>
  <c r="G46" i="42"/>
  <c r="H46" i="42"/>
  <c r="D46" i="42"/>
  <c r="G45" i="42"/>
  <c r="D45" i="42"/>
  <c r="G44" i="42"/>
  <c r="H44" i="42"/>
  <c r="D44" i="42"/>
  <c r="G43" i="42"/>
  <c r="D43" i="42"/>
  <c r="H43" i="42"/>
  <c r="G42" i="42"/>
  <c r="D42" i="42"/>
  <c r="G41" i="42"/>
  <c r="D41" i="42"/>
  <c r="G40" i="42"/>
  <c r="D40" i="42"/>
  <c r="H40" i="42"/>
  <c r="G39" i="42"/>
  <c r="D39" i="42"/>
  <c r="G38" i="42"/>
  <c r="D38" i="42"/>
  <c r="G37" i="42"/>
  <c r="H37" i="42"/>
  <c r="D37" i="42"/>
  <c r="G36" i="42"/>
  <c r="D36" i="42"/>
  <c r="H36" i="42"/>
  <c r="G35" i="42"/>
  <c r="D35" i="42"/>
  <c r="H35" i="42"/>
  <c r="G34" i="42"/>
  <c r="D34" i="42"/>
  <c r="G33" i="42"/>
  <c r="D33" i="42"/>
  <c r="G32" i="42"/>
  <c r="D32" i="42"/>
  <c r="H32" i="42"/>
  <c r="G31" i="42"/>
  <c r="D31" i="42"/>
  <c r="H31" i="42"/>
  <c r="G30" i="42"/>
  <c r="H30" i="42"/>
  <c r="D30" i="42"/>
  <c r="G29" i="42"/>
  <c r="D29" i="42"/>
  <c r="G28" i="42"/>
  <c r="H28" i="42"/>
  <c r="D28" i="42"/>
  <c r="G27" i="42"/>
  <c r="D27" i="42"/>
  <c r="H27" i="42"/>
  <c r="G26" i="42"/>
  <c r="D26" i="42"/>
  <c r="G25" i="42"/>
  <c r="D25" i="42"/>
  <c r="G24" i="42"/>
  <c r="D24" i="42"/>
  <c r="H24" i="42"/>
  <c r="G23" i="42"/>
  <c r="D23" i="42"/>
  <c r="G22" i="42"/>
  <c r="D22" i="42"/>
  <c r="G21" i="42"/>
  <c r="H21" i="42"/>
  <c r="D21" i="42"/>
  <c r="G20" i="42"/>
  <c r="D20" i="42"/>
  <c r="H20" i="42"/>
  <c r="G19" i="42"/>
  <c r="D19" i="42"/>
  <c r="H19" i="42"/>
  <c r="G18" i="42"/>
  <c r="D18" i="42"/>
  <c r="G17" i="42"/>
  <c r="D17" i="42"/>
  <c r="G16" i="42"/>
  <c r="H16" i="42"/>
  <c r="D16" i="42"/>
  <c r="G15" i="42"/>
  <c r="D15" i="42"/>
  <c r="H15" i="42"/>
  <c r="G14" i="42"/>
  <c r="H14" i="42"/>
  <c r="D14" i="42"/>
  <c r="G13" i="42"/>
  <c r="D13" i="42"/>
  <c r="G12" i="42"/>
  <c r="H12" i="42"/>
  <c r="D12" i="42"/>
  <c r="G11" i="42"/>
  <c r="D11" i="42"/>
  <c r="H11" i="42"/>
  <c r="G10" i="42"/>
  <c r="H10" i="42"/>
  <c r="D10" i="42"/>
  <c r="G9" i="42"/>
  <c r="D9" i="42"/>
  <c r="G8" i="42"/>
  <c r="D8" i="42"/>
  <c r="H8" i="42"/>
  <c r="G7" i="42"/>
  <c r="D7" i="42"/>
  <c r="H7" i="42"/>
  <c r="G6" i="42"/>
  <c r="D6" i="42"/>
  <c r="G5" i="42"/>
  <c r="H5" i="42"/>
  <c r="D5" i="42"/>
  <c r="G4" i="42"/>
  <c r="D4" i="42"/>
  <c r="H4" i="42"/>
  <c r="G3" i="42"/>
  <c r="D3" i="42"/>
  <c r="H3" i="42"/>
  <c r="F58" i="23"/>
  <c r="F57" i="23"/>
  <c r="F56" i="23"/>
  <c r="F55" i="23"/>
  <c r="F54" i="23"/>
  <c r="F53" i="23"/>
  <c r="F52" i="23"/>
  <c r="F51" i="23"/>
  <c r="F50" i="23"/>
  <c r="F49" i="23"/>
  <c r="F48" i="23"/>
  <c r="F47" i="23"/>
  <c r="F46" i="23"/>
  <c r="F45" i="23"/>
  <c r="F44" i="23"/>
  <c r="F43" i="23"/>
  <c r="F42" i="23"/>
  <c r="F41" i="23"/>
  <c r="F40" i="23"/>
  <c r="F39" i="23"/>
  <c r="F38" i="23"/>
  <c r="F37" i="23"/>
  <c r="F36" i="23"/>
  <c r="F35" i="23"/>
  <c r="F34" i="23"/>
  <c r="F33" i="23"/>
  <c r="F32" i="23"/>
  <c r="F31" i="23"/>
  <c r="F30" i="23"/>
  <c r="F29" i="23"/>
  <c r="F28" i="23"/>
  <c r="F27" i="23"/>
  <c r="F26" i="23"/>
  <c r="F25" i="23"/>
  <c r="F24" i="23"/>
  <c r="F23" i="23"/>
  <c r="F22" i="23"/>
  <c r="F21" i="23"/>
  <c r="F20" i="23"/>
  <c r="F19" i="23"/>
  <c r="F18" i="23"/>
  <c r="F17" i="23"/>
  <c r="F16" i="23"/>
  <c r="F15" i="23"/>
  <c r="F14" i="23"/>
  <c r="F13" i="23"/>
  <c r="F12" i="23"/>
  <c r="F11" i="23"/>
  <c r="F10" i="23"/>
  <c r="F9" i="23"/>
  <c r="F8" i="23"/>
  <c r="F7" i="23"/>
  <c r="F6" i="23"/>
  <c r="F43" i="19"/>
  <c r="F44" i="19"/>
  <c r="D43" i="19"/>
  <c r="D44" i="19"/>
  <c r="H6" i="42"/>
  <c r="H13" i="42"/>
  <c r="H22" i="42"/>
  <c r="H29" i="42"/>
  <c r="H38" i="42"/>
  <c r="H45" i="42"/>
  <c r="H52" i="42"/>
  <c r="H17" i="42"/>
  <c r="H23" i="42"/>
  <c r="H26" i="42"/>
  <c r="H33" i="42"/>
  <c r="H39" i="42"/>
  <c r="H42" i="42"/>
  <c r="H49" i="42"/>
  <c r="H9" i="42"/>
  <c r="H18" i="42"/>
  <c r="H25" i="42"/>
  <c r="H34" i="42"/>
  <c r="H41" i="42"/>
  <c r="H50" i="42"/>
  <c r="H55" i="42"/>
</calcChain>
</file>

<file path=xl/sharedStrings.xml><?xml version="1.0" encoding="utf-8"?>
<sst xmlns="http://schemas.openxmlformats.org/spreadsheetml/2006/main" count="9069" uniqueCount="816">
  <si>
    <r>
      <t xml:space="preserve">Source: </t>
    </r>
    <r>
      <rPr>
        <sz val="11"/>
        <color theme="1"/>
        <rFont val="Calibri"/>
        <family val="2"/>
        <scheme val="minor"/>
      </rPr>
      <t xml:space="preserve">http://fra.europa.eu/en/vaw-survey-results.  You can choose to export the data but it comes in a really strange format.  This table is from selecting the consequences of violence section, then the EU bar chart format, then the question about long term psychological consequences from violence, then age as a category rather than all, and then 60+.  You can select how to export it from the bottom of the page.  </t>
    </r>
    <r>
      <rPr>
        <b/>
        <sz val="11"/>
        <color indexed="8"/>
        <rFont val="Calibri"/>
        <family val="2"/>
      </rPr>
      <t xml:space="preserve">Notes: </t>
    </r>
    <r>
      <rPr>
        <sz val="11"/>
        <color indexed="8"/>
        <rFont val="Calibri"/>
        <family val="2"/>
      </rPr>
      <t>Data limitations are that it is self-reported that is why the text for all the survey results mentions 'women reported' because it self-reported.</t>
    </r>
    <phoneticPr fontId="7" type="noConversion"/>
  </si>
  <si>
    <t>Figure 16b. The risk of poverty or social exclusion (%) for girls aged 6-10 years in the EU, 2013</t>
    <phoneticPr fontId="7" type="noConversion"/>
  </si>
  <si>
    <r>
      <t xml:space="preserve">Source: </t>
    </r>
    <r>
      <rPr>
        <sz val="11"/>
        <color theme="1"/>
        <rFont val="Calibri"/>
        <family val="2"/>
        <scheme val="minor"/>
      </rPr>
      <t xml:space="preserve">http://fra.europa.eu/en/vaw-survey-results.  You can choose to export the data but it comes in a really strange format.  This table is from selecting the consequences of violence section, then the EU bar chart format, then the question about injuries from physical violence, then age as a category rather than all, and then 60+.  You can select how to export it from the bottom of the page.  </t>
    </r>
    <r>
      <rPr>
        <b/>
        <sz val="11"/>
        <color indexed="8"/>
        <rFont val="Calibri"/>
        <family val="2"/>
      </rPr>
      <t xml:space="preserve">Notes: </t>
    </r>
    <r>
      <rPr>
        <sz val="11"/>
        <color indexed="8"/>
        <rFont val="Calibri"/>
        <family val="2"/>
      </rPr>
      <t>Data limitations are that it is self-reported that is why the text for all the survey results mentions 'women reported' because it self-reported.</t>
    </r>
    <phoneticPr fontId="7" type="noConversion"/>
  </si>
  <si>
    <r>
      <t>Notes:</t>
    </r>
    <r>
      <rPr>
        <sz val="11"/>
        <color theme="1"/>
        <rFont val="Calibri"/>
        <family val="2"/>
        <scheme val="minor"/>
      </rPr>
      <t xml:space="preserve"> Psychological well-being (energy and vitality index): based on the Energy and Vitality Index (EVI) instrument which consists of two vitality-related items and two energy-related items. It has a score of 0 to 100, where a score of 100 represents optimal mental health. The indicator is presented in the form of average score. For instance in Austria population aged 15-24 has the average score of psychological well-being equal to 72 whereas population aged 75-84 in Austria has this average score 53.3. The data for Belgium for the first two age groups has low reliability and is not available for 85+ years; and the data for 85+years has low reliability for the following countries - Bulgaria, Czech Republic, Spain, Cyprus, Malta, Austria, Slovakia and Turkey.
</t>
    </r>
    <phoneticPr fontId="7" type="noConversion"/>
  </si>
  <si>
    <t xml:space="preserve">Germany </t>
    <phoneticPr fontId="7" type="noConversion"/>
  </si>
  <si>
    <t>EU-15</t>
  </si>
  <si>
    <t>EU-27</t>
  </si>
  <si>
    <t>New Mem States (12)</t>
    <phoneticPr fontId="7" type="noConversion"/>
  </si>
  <si>
    <t>From 6 to 10 years</t>
  </si>
  <si>
    <t xml:space="preserve">Germany </t>
    <phoneticPr fontId="7" type="noConversion"/>
  </si>
  <si>
    <t>TFYR of Macdedonia</t>
    <phoneticPr fontId="7" type="noConversion"/>
  </si>
  <si>
    <t>From 11 to 15 years</t>
  </si>
  <si>
    <t>Germany</t>
    <phoneticPr fontId="7" type="noConversion"/>
  </si>
  <si>
    <t>New Mem States (12)</t>
    <phoneticPr fontId="7" type="noConversion"/>
  </si>
  <si>
    <t>TFYR of Macedonia</t>
    <phoneticPr fontId="7" type="noConversion"/>
  </si>
  <si>
    <r>
      <t xml:space="preserve">Figure </t>
    </r>
    <r>
      <rPr>
        <b/>
        <sz val="11"/>
        <color indexed="8"/>
        <rFont val="Calibri"/>
        <family val="2"/>
      </rPr>
      <t>23</t>
    </r>
    <r>
      <rPr>
        <b/>
        <sz val="11"/>
        <color theme="1"/>
        <rFont val="Calibri"/>
        <family val="2"/>
        <scheme val="minor"/>
      </rPr>
      <t>. Self-perceived health by sex, age and labour status (percentage) in the wider EU, 2103</t>
    </r>
    <phoneticPr fontId="7" type="noConversion"/>
  </si>
  <si>
    <t>Q1</t>
    <phoneticPr fontId="7" type="noConversion"/>
  </si>
  <si>
    <t>Q5</t>
    <phoneticPr fontId="7" type="noConversion"/>
  </si>
  <si>
    <t xml:space="preserve">Difference in years in ill-health  2000-2012 </t>
    <phoneticPr fontId="7" type="noConversion"/>
  </si>
  <si>
    <r>
      <t xml:space="preserve">Notes: </t>
    </r>
    <r>
      <rPr>
        <sz val="11"/>
        <color theme="1"/>
        <rFont val="Calibri"/>
        <family val="2"/>
        <scheme val="minor"/>
      </rPr>
      <t xml:space="preserve">Comprehensive knowledge of HIV among adolescents – Percentage of young men and women aged 15–19 who correctly identify the two major ways of preventing the sexual transmission of HIV (using condoms and limiting sex to one faithful, uninfected partner), who reject the two most common local misconceptions about HIV transmission and who know that a healthy-looking person can be HIV-positive Data on male knowledge not available for Tajikistan or Uzbekistan. * Data refer to the most recent year available during the period specified in the column heading. </t>
    </r>
    <r>
      <rPr>
        <b/>
        <sz val="11"/>
        <color indexed="8"/>
        <rFont val="Calibri"/>
        <family val="2"/>
      </rPr>
      <t xml:space="preserve">Source: </t>
    </r>
    <r>
      <rPr>
        <sz val="11"/>
        <color theme="1"/>
        <rFont val="Calibri"/>
        <family val="2"/>
        <scheme val="minor"/>
      </rPr>
      <t>Unicef, http://www.unicef.org/sowc2011/fullreport.php [web site]. (http://www.unicef.org/sowc2011/fullreport.php, accessed 31 May 2015).</t>
    </r>
    <phoneticPr fontId="7" type="noConversion"/>
  </si>
  <si>
    <t>Figure 5.3.1 Adolescents (males and females), comprehensive knowledge of HIV (%), 2009-2013*</t>
    <phoneticPr fontId="7" type="noConversion"/>
  </si>
  <si>
    <t>Figure 18 Data</t>
    <phoneticPr fontId="7" type="noConversion"/>
  </si>
  <si>
    <t>Kyrgyzstan</t>
  </si>
  <si>
    <t>Monaco</t>
  </si>
  <si>
    <r>
      <t>Figure 2</t>
    </r>
    <r>
      <rPr>
        <b/>
        <sz val="11"/>
        <color indexed="8"/>
        <rFont val="Calibri"/>
        <family val="2"/>
      </rPr>
      <t>5</t>
    </r>
    <r>
      <rPr>
        <b/>
        <sz val="11"/>
        <color theme="1"/>
        <rFont val="Calibri"/>
        <family val="2"/>
        <scheme val="minor"/>
      </rPr>
      <t>. DALYs Ischemic heart disease per 1000 women (2000 and 2012), 30-59 years</t>
    </r>
    <phoneticPr fontId="7" type="noConversion"/>
  </si>
  <si>
    <r>
      <t>Figure 2</t>
    </r>
    <r>
      <rPr>
        <b/>
        <sz val="11"/>
        <color indexed="8"/>
        <rFont val="Calibri"/>
        <family val="2"/>
      </rPr>
      <t>6</t>
    </r>
    <r>
      <rPr>
        <b/>
        <sz val="11"/>
        <color theme="1"/>
        <rFont val="Calibri"/>
        <family val="2"/>
        <scheme val="minor"/>
      </rPr>
      <t xml:space="preserve">. DALYs Stroke per 1000 women (2000 and 2012), 30-59 years </t>
    </r>
    <phoneticPr fontId="7" type="noConversion"/>
  </si>
  <si>
    <r>
      <t>Figure 2</t>
    </r>
    <r>
      <rPr>
        <b/>
        <sz val="11"/>
        <rFont val="Calibri"/>
        <family val="2"/>
      </rPr>
      <t>7</t>
    </r>
    <r>
      <rPr>
        <b/>
        <sz val="11"/>
        <rFont val="Calibri"/>
        <family val="2"/>
        <scheme val="minor"/>
      </rPr>
      <t>a. Contraceptive use among married women 15-49 years old, any method, percentage (last year available)</t>
    </r>
    <phoneticPr fontId="7" type="noConversion"/>
  </si>
  <si>
    <r>
      <t>Figure 2</t>
    </r>
    <r>
      <rPr>
        <b/>
        <sz val="11"/>
        <color indexed="8"/>
        <rFont val="Calibri"/>
        <family val="2"/>
      </rPr>
      <t>7b</t>
    </r>
    <r>
      <rPr>
        <b/>
        <sz val="11"/>
        <color theme="1"/>
        <rFont val="Calibri"/>
        <family val="2"/>
        <scheme val="minor"/>
      </rPr>
      <t>. Contraceptive use among married women 15-49 years old, modern methods, percentage (last year available)</t>
    </r>
    <phoneticPr fontId="7" type="noConversion"/>
  </si>
  <si>
    <r>
      <t>Figure 2</t>
    </r>
    <r>
      <rPr>
        <b/>
        <sz val="11"/>
        <color indexed="8"/>
        <rFont val="Calibri"/>
        <family val="2"/>
      </rPr>
      <t>9</t>
    </r>
    <r>
      <rPr>
        <b/>
        <sz val="11"/>
        <color indexed="8"/>
        <rFont val="Calibri"/>
        <family val="2"/>
        <scheme val="minor"/>
      </rPr>
      <t>. Estimates of maternal mortality ratio (MMR, maternal deaths per 100 000 live births), 2013</t>
    </r>
    <phoneticPr fontId="7" type="noConversion"/>
  </si>
  <si>
    <r>
      <t>Figure 2</t>
    </r>
    <r>
      <rPr>
        <b/>
        <sz val="11"/>
        <color indexed="8"/>
        <rFont val="Calibri"/>
        <family val="2"/>
      </rPr>
      <t>8</t>
    </r>
    <r>
      <rPr>
        <b/>
        <sz val="11"/>
        <color indexed="8"/>
        <rFont val="Calibri"/>
        <family val="2"/>
        <scheme val="minor"/>
      </rPr>
      <t>. Trends in the Maternal Mortality Ratio in the WHO European Region 1990, 2000 and 2013</t>
    </r>
    <phoneticPr fontId="7" type="noConversion"/>
  </si>
  <si>
    <t>People at risk of poverty or social exclusion by age and sex [ilc_peps01]</t>
  </si>
  <si>
    <t>Percentage of total population</t>
  </si>
  <si>
    <t>Greece</t>
  </si>
  <si>
    <t>San Marino</t>
  </si>
  <si>
    <t>Serbia</t>
  </si>
  <si>
    <t>Slovakia</t>
  </si>
  <si>
    <t>Slovenia</t>
  </si>
  <si>
    <t>Spain</t>
  </si>
  <si>
    <t>Sweden</t>
  </si>
  <si>
    <t>Switzerland</t>
  </si>
  <si>
    <t>Tajikistan</t>
  </si>
  <si>
    <t>Turkey</t>
  </si>
  <si>
    <t>Ukraine</t>
  </si>
  <si>
    <t>From 16 to 24 years</t>
  </si>
  <si>
    <t>TFYR of Macedonia</t>
  </si>
  <si>
    <t xml:space="preserve">Figure 20. Adolescent birth rate for girls aged 15-19 years, 2008-2012* </t>
    <phoneticPr fontId="7" type="noConversion"/>
  </si>
  <si>
    <t>(p)</t>
  </si>
  <si>
    <t>(e)</t>
  </si>
  <si>
    <t>geo\time</t>
  </si>
  <si>
    <t>% - NACE Rev. 2 (Structure of Earnings Survey methodology)</t>
  </si>
  <si>
    <t>see metadata (phased out)</t>
  </si>
  <si>
    <t>Flags and footnotes</t>
  </si>
  <si>
    <t>EU 27</t>
  </si>
  <si>
    <t>u</t>
  </si>
  <si>
    <t>Available flags:</t>
  </si>
  <si>
    <t>Special value:</t>
  </si>
  <si>
    <t>b</t>
  </si>
  <si>
    <t>break in time series</t>
  </si>
  <si>
    <t>:</t>
  </si>
  <si>
    <t>not available</t>
  </si>
  <si>
    <t>c</t>
  </si>
  <si>
    <t>confidential</t>
  </si>
  <si>
    <t>d</t>
  </si>
  <si>
    <t>definition differs, see metadata</t>
  </si>
  <si>
    <t>e</t>
  </si>
  <si>
    <t>estimated</t>
  </si>
  <si>
    <t>f</t>
  </si>
  <si>
    <t>forecast</t>
  </si>
  <si>
    <t>i</t>
  </si>
  <si>
    <r>
      <t>Notes</t>
    </r>
    <r>
      <rPr>
        <sz val="11"/>
        <color theme="1"/>
        <rFont val="Calibri"/>
        <family val="2"/>
        <scheme val="minor"/>
      </rPr>
      <t xml:space="preserve">: Pre-primary school gross enrolment ratio – Number of children enrolled in pre-primary school, regardless of age, expressed as a percentage of the total number of children of official pre-primary school age. * Data refer to the most recent year available during the period specified in the column heading. No data for Andorra, Georgia, Monaco and Turkmenistan. </t>
    </r>
    <r>
      <rPr>
        <b/>
        <sz val="11"/>
        <color indexed="8"/>
        <rFont val="Calibri"/>
        <family val="2"/>
      </rPr>
      <t>Source:</t>
    </r>
    <r>
      <rPr>
        <sz val="11"/>
        <color theme="1"/>
        <rFont val="Calibri"/>
        <family val="2"/>
        <scheme val="minor"/>
      </rPr>
      <t xml:space="preserve"> Unicef, http://www.unicef.org/sowc2011/fullreport.php [web site]. (http://www.unicef.org/sowc2011/fullreport.php, accessed 25 April 2015).</t>
    </r>
    <phoneticPr fontId="7" type="noConversion"/>
  </si>
  <si>
    <r>
      <t xml:space="preserve">Notes: </t>
    </r>
    <r>
      <rPr>
        <sz val="11"/>
        <color theme="1"/>
        <rFont val="Calibri"/>
        <family val="2"/>
        <scheme val="minor"/>
      </rPr>
      <t xml:space="preserve">Adolescent birth rate – Number of births per 1,000 adolescent girls aged 15–19. * Data refer to the most recent year available during the period specified in the column heading. </t>
    </r>
    <r>
      <rPr>
        <b/>
        <sz val="11"/>
        <color indexed="8"/>
        <rFont val="Calibri"/>
        <family val="2"/>
      </rPr>
      <t xml:space="preserve">Source: </t>
    </r>
    <r>
      <rPr>
        <sz val="11"/>
        <color theme="1"/>
        <rFont val="Calibri"/>
        <family val="2"/>
        <scheme val="minor"/>
      </rPr>
      <t>Unicef, http://www.unicef.org/sowc2011/fullreport.php [web site]. (http://www.unicef.org/sowc2011/fullreport.php, accessed 31 May 2015).</t>
    </r>
    <phoneticPr fontId="7" type="noConversion"/>
  </si>
  <si>
    <t>not applicable</t>
  </si>
  <si>
    <t>From 18 to 44 years</t>
  </si>
  <si>
    <t>Fifth quintile of equivalised income</t>
  </si>
  <si>
    <t>female</t>
  </si>
  <si>
    <t/>
  </si>
  <si>
    <t>The former Yugoslav Republic of Macedonia</t>
  </si>
  <si>
    <t>TFYR Macedonia</t>
    <phoneticPr fontId="7" type="noConversion"/>
  </si>
  <si>
    <t>Adolescent birth rate</t>
  </si>
  <si>
    <t>2008-2012*</t>
  </si>
  <si>
    <t>Andorra</t>
  </si>
  <si>
    <t>Croatia</t>
  </si>
  <si>
    <t>Germany</t>
  </si>
  <si>
    <t>Turkmenistan</t>
  </si>
  <si>
    <t>Total</t>
  </si>
  <si>
    <t>TFYR Macedonia</t>
  </si>
  <si>
    <t>Table 4 Graphs</t>
  </si>
  <si>
    <t>Comprehensive knowledge of HIV (%)
 2009–2013*</t>
  </si>
  <si>
    <t>Country</t>
  </si>
  <si>
    <t>Females</t>
  </si>
  <si>
    <t xml:space="preserve">Males </t>
  </si>
  <si>
    <t>–</t>
  </si>
  <si>
    <t>Belarus</t>
  </si>
  <si>
    <t>Bosnia and Herzegovina</t>
  </si>
  <si>
    <t>Georgia</t>
  </si>
  <si>
    <t>United Kingdom</t>
  </si>
  <si>
    <t>male</t>
  </si>
  <si>
    <t>Albania</t>
  </si>
  <si>
    <t>Armenia</t>
  </si>
  <si>
    <t>Austria</t>
  </si>
  <si>
    <t>Azerbaijan</t>
  </si>
  <si>
    <t xml:space="preserve">Belarus </t>
  </si>
  <si>
    <t>Belgium</t>
  </si>
  <si>
    <t>Bosnia &amp; Herzegovina</t>
  </si>
  <si>
    <t>Bulgaria</t>
  </si>
  <si>
    <t xml:space="preserve">Croatia </t>
  </si>
  <si>
    <t>Cyprus</t>
  </si>
  <si>
    <t>Czech Republic</t>
  </si>
  <si>
    <t>Denmark</t>
  </si>
  <si>
    <t>Estonia</t>
  </si>
  <si>
    <t>Finland</t>
  </si>
  <si>
    <t>France</t>
  </si>
  <si>
    <t xml:space="preserve">Germany </t>
  </si>
  <si>
    <t>Hungary</t>
  </si>
  <si>
    <t>Iceland</t>
  </si>
  <si>
    <t>Ireland</t>
  </si>
  <si>
    <t>Israel</t>
  </si>
  <si>
    <t>Italy</t>
  </si>
  <si>
    <t>Kazakhstan</t>
  </si>
  <si>
    <t>Latvia</t>
  </si>
  <si>
    <t>Lithuania</t>
  </si>
  <si>
    <t>Luxembourg</t>
  </si>
  <si>
    <t>Malta</t>
  </si>
  <si>
    <t>Montenegro</t>
  </si>
  <si>
    <t>Netherlands</t>
  </si>
  <si>
    <t>Norway</t>
  </si>
  <si>
    <t>Poland</t>
  </si>
  <si>
    <t>Portugal</t>
  </si>
  <si>
    <t>Republic of Moldova</t>
  </si>
  <si>
    <t>Romania</t>
  </si>
  <si>
    <t>Russian Federation</t>
  </si>
  <si>
    <t>The unadjusted Gender Pay Gap (GPG) represents the difference between average gross hourly earnings of male paid employees and of female paid employees as a percentage of average gross hourly earnings of male paid employees. The population consists of all paid employees in enterprises with 10 employees or more in NACE Rev. 2 aggregate B to S (excluding O) - before reference year 2008: NACE Rev. 1.1 aggregate C to O (excluding L). The GPG indicator is calculated within the framework of the data collected according to the methodology of the Structure of Earnings Survey (EC Regulation: 530/1999). It replaces data which was based on non-harmonised sources. For further information please consult the detailed explanatory texts (metadata).</t>
  </si>
  <si>
    <t>Short Description:</t>
  </si>
  <si>
    <t>http://ec.europa.eu/geninfo/legal_notices_en.htm</t>
  </si>
  <si>
    <t>General Disclaimer of the EC website:</t>
  </si>
  <si>
    <t>http://ec.europa.eu/eurostat/tgm/table.do?tab=table&amp;init=1&amp;plugin=1&amp;language=en&amp;pcode=tsdsc340</t>
  </si>
  <si>
    <t>Hyperlink to the table:</t>
  </si>
  <si>
    <t>16 Jun 2015 19:46:57 CEST</t>
  </si>
  <si>
    <t>Date of extraction:</t>
  </si>
  <si>
    <t>15.06.2015</t>
  </si>
  <si>
    <t>Last update:</t>
  </si>
  <si>
    <t>n</t>
  </si>
  <si>
    <t>not significant</t>
  </si>
  <si>
    <t>p</t>
  </si>
  <si>
    <t>provisional</t>
  </si>
  <si>
    <t>r</t>
  </si>
  <si>
    <t>revised</t>
  </si>
  <si>
    <t>s</t>
  </si>
  <si>
    <t>Eurostat estimate (phased out)</t>
  </si>
  <si>
    <t>low reliability</t>
  </si>
  <si>
    <t>z</t>
  </si>
  <si>
    <t>Moldova (Republic of)</t>
  </si>
  <si>
    <t>Source: United Nations Development Programme (UNDP)</t>
  </si>
  <si>
    <t>http://hdr.undp.org/en/data</t>
  </si>
  <si>
    <t xml:space="preserve">United Kingdom </t>
  </si>
  <si>
    <t>Uzbekistan</t>
  </si>
  <si>
    <t>Male</t>
  </si>
  <si>
    <t>Female</t>
  </si>
  <si>
    <r>
      <t>T</t>
    </r>
    <r>
      <rPr>
        <b/>
        <sz val="11"/>
        <color indexed="8"/>
        <rFont val="Calibri"/>
        <family val="2"/>
      </rPr>
      <t>FYR</t>
    </r>
    <r>
      <rPr>
        <b/>
        <sz val="11"/>
        <color theme="1"/>
        <rFont val="Calibri"/>
        <family val="2"/>
        <scheme val="minor"/>
      </rPr>
      <t xml:space="preserve"> Macedonia </t>
    </r>
    <phoneticPr fontId="7" type="noConversion"/>
  </si>
  <si>
    <t>* Data refer to the most recent year available during the period specified in the column heading.</t>
    <phoneticPr fontId="7" type="noConversion"/>
  </si>
  <si>
    <t xml:space="preserve">No data for Andorra, Georgia, Monaco and Turkmenistan. </t>
    <phoneticPr fontId="7" type="noConversion"/>
  </si>
  <si>
    <t>Extracted on</t>
  </si>
  <si>
    <t>Source of data</t>
  </si>
  <si>
    <t>Eurostat</t>
  </si>
  <si>
    <t>Short Description</t>
  </si>
  <si>
    <t>Short Description is not available</t>
  </si>
  <si>
    <t>INCGRP</t>
  </si>
  <si>
    <t>First quintile of equivalised income</t>
  </si>
  <si>
    <t>AGE</t>
  </si>
  <si>
    <t>SEX</t>
  </si>
  <si>
    <t>LEVELS</t>
  </si>
  <si>
    <t>Bad and very bad</t>
  </si>
  <si>
    <t>UNIT</t>
  </si>
  <si>
    <t>Percentage</t>
  </si>
  <si>
    <t>GEO/TIME</t>
  </si>
  <si>
    <t>2013</t>
  </si>
  <si>
    <t>UNICEF Global databases 2014 based on DHS, MICS and other nationally representative surveys.</t>
  </si>
  <si>
    <t>http://www.data.unicef.org/maternal-health/antenatal-care</t>
  </si>
  <si>
    <t>1990 Nature</t>
  </si>
  <si>
    <t>1995 Nature</t>
  </si>
  <si>
    <t>2000 Nature</t>
  </si>
  <si>
    <t>2005 Nature</t>
  </si>
  <si>
    <t>S_ADJ</t>
  </si>
  <si>
    <t>Not seasonally adjusted data</t>
  </si>
  <si>
    <t>From 25 to 74 years</t>
  </si>
  <si>
    <t>2005</t>
  </si>
  <si>
    <t>2006</t>
  </si>
  <si>
    <t>Old age pension recipient</t>
  </si>
  <si>
    <t>(% of statutory pension age population)</t>
  </si>
  <si>
    <t>Female (2004-2013)</t>
  </si>
  <si>
    <t>Source of data: Eurostat</t>
  </si>
  <si>
    <t>Males</t>
  </si>
  <si>
    <t>Gap in percetange points</t>
  </si>
  <si>
    <t>European Union (28 countries)</t>
  </si>
  <si>
    <t>European Union (27 countries)</t>
  </si>
  <si>
    <t>European Union (15 countries)</t>
  </si>
  <si>
    <t>New Member States (12 countries)</t>
  </si>
  <si>
    <t>Euro area (18 countries)</t>
  </si>
  <si>
    <t>Women</t>
  </si>
  <si>
    <t>Men</t>
  </si>
  <si>
    <t xml:space="preserve">Gap </t>
  </si>
  <si>
    <t>Deaths</t>
  </si>
  <si>
    <t>Road injuries</t>
  </si>
  <si>
    <t>Congenital anomalies</t>
  </si>
  <si>
    <t>Asthma</t>
  </si>
  <si>
    <t>Poisonings</t>
  </si>
  <si>
    <t>tsdsc340</t>
  </si>
  <si>
    <t>Code:</t>
  </si>
  <si>
    <t>http://hdr.undp.org/en/content/table-4-gender-inequality-index</t>
  </si>
  <si>
    <t>Very good/good</t>
  </si>
  <si>
    <t>Fair</t>
  </si>
  <si>
    <t>Maternal mortality ratio (deaths per 100,000 live births), 2010</t>
  </si>
  <si>
    <t>Bad, very bad</t>
  </si>
  <si>
    <t>Year</t>
  </si>
  <si>
    <t>SEE DOCUMENT "FIGURE FOR REPORTS MACROS"</t>
  </si>
  <si>
    <t>Female GNI per capita</t>
  </si>
  <si>
    <t>LE Female</t>
  </si>
  <si>
    <t>Macedonia</t>
  </si>
  <si>
    <t>Source: Eurostat</t>
  </si>
  <si>
    <t>DALY  per 1000 women, 2012</t>
  </si>
  <si>
    <t>State of Palestine</t>
  </si>
  <si>
    <t>Source: UNICEF</t>
  </si>
  <si>
    <t>Antenatal care coverage: at least one visit - Percentage</t>
  </si>
  <si>
    <t>Last update: September 2014</t>
  </si>
  <si>
    <t>Wealth quintile</t>
  </si>
  <si>
    <t>Code</t>
  </si>
  <si>
    <t>Urban</t>
  </si>
  <si>
    <t>Rural</t>
  </si>
  <si>
    <t>Poorest</t>
  </si>
  <si>
    <t>Second</t>
  </si>
  <si>
    <t>Middle</t>
  </si>
  <si>
    <t>Fourth</t>
  </si>
  <si>
    <t>Richest</t>
  </si>
  <si>
    <t>Source: WHO</t>
  </si>
  <si>
    <t>http://apps.who.int/gho/data/node.main.3?lang=en</t>
  </si>
  <si>
    <t>2010-2011</t>
  </si>
  <si>
    <t>MICS 2010-2011</t>
  </si>
  <si>
    <t>2008-2009</t>
  </si>
  <si>
    <t>DHS 2008-2009</t>
  </si>
  <si>
    <t>RHS 2010</t>
  </si>
  <si>
    <t>MICS 2006</t>
  </si>
  <si>
    <t>MICS 2011</t>
  </si>
  <si>
    <t>MICS 2010</t>
  </si>
  <si>
    <t xml:space="preserve">Definition: </t>
  </si>
  <si>
    <t>LE-HALE women (Years in ill health), 2012</t>
  </si>
  <si>
    <t>Country code</t>
  </si>
  <si>
    <t>Life expectancy</t>
  </si>
  <si>
    <t>Healthy life expectancy at birth</t>
  </si>
  <si>
    <t>Years in ill health</t>
  </si>
  <si>
    <t>TKM</t>
  </si>
  <si>
    <t>TJK</t>
  </si>
  <si>
    <t>UZB</t>
  </si>
  <si>
    <t>KGZ</t>
  </si>
  <si>
    <t>KAZ</t>
  </si>
  <si>
    <t>AZE</t>
  </si>
  <si>
    <t>ALB</t>
  </si>
  <si>
    <t>ARM</t>
  </si>
  <si>
    <t>MDA</t>
  </si>
  <si>
    <t>RUS</t>
  </si>
  <si>
    <t>MNE</t>
  </si>
  <si>
    <t>SRB</t>
  </si>
  <si>
    <t>TUR</t>
  </si>
  <si>
    <t>UKR</t>
  </si>
  <si>
    <t>BLR</t>
  </si>
  <si>
    <t>BGR</t>
  </si>
  <si>
    <t>GEO</t>
  </si>
  <si>
    <t>LVA</t>
  </si>
  <si>
    <t>MKD</t>
  </si>
  <si>
    <t>HUN</t>
  </si>
  <si>
    <t>ROU</t>
  </si>
  <si>
    <t>BIH</t>
  </si>
  <si>
    <t>HRV</t>
  </si>
  <si>
    <t>LTU</t>
  </si>
  <si>
    <t>SVK</t>
  </si>
  <si>
    <t>CZE</t>
  </si>
  <si>
    <t>EST</t>
  </si>
  <si>
    <t>POL</t>
  </si>
  <si>
    <t>DNK</t>
  </si>
  <si>
    <t>MLT</t>
  </si>
  <si>
    <t>NLD</t>
  </si>
  <si>
    <t>NOR</t>
  </si>
  <si>
    <t>GBR</t>
  </si>
  <si>
    <t>AUT</t>
  </si>
  <si>
    <t>BEL</t>
  </si>
  <si>
    <t>FIN</t>
  </si>
  <si>
    <t>DEU</t>
  </si>
  <si>
    <t>GRC</t>
  </si>
  <si>
    <t>ISL</t>
  </si>
  <si>
    <t>IRL</t>
  </si>
  <si>
    <t>ISR</t>
  </si>
  <si>
    <t>LUX</t>
  </si>
  <si>
    <t>PRT</t>
  </si>
  <si>
    <t>SMR</t>
  </si>
  <si>
    <t>SVN</t>
  </si>
  <si>
    <t>SWE</t>
  </si>
  <si>
    <t>AND</t>
  </si>
  <si>
    <t>FRA</t>
  </si>
  <si>
    <t>ITA</t>
  </si>
  <si>
    <t>CHE</t>
  </si>
  <si>
    <t>MCO</t>
  </si>
  <si>
    <t>ESP</t>
  </si>
  <si>
    <t>CYP</t>
  </si>
  <si>
    <t>Rank</t>
  </si>
  <si>
    <t>Score</t>
  </si>
  <si>
    <t>Percentage of women aged 15–49 years attended at least once during pregnancy by skilled health personnel (doctor, nurse or midwife)</t>
  </si>
  <si>
    <t>Self-perceived health by sex, age and income quintile [hlth_silc_10]</t>
  </si>
  <si>
    <t>Last update</t>
  </si>
  <si>
    <t>*The regional averages are based on countries with available data on the period 2009-2013. These averages are weighted with country specific total births in 2013, and represent data from countries covering at least 50% of regional number of births.</t>
  </si>
  <si>
    <t xml:space="preserve"> </t>
  </si>
  <si>
    <t>The indicator refers to women who had a live birth in a recent time period, generally two years for MICS and five years for DHS.</t>
  </si>
  <si>
    <r>
      <rPr>
        <b/>
        <sz val="11"/>
        <rFont val="Calibri"/>
        <family val="2"/>
      </rPr>
      <t>Notes:</t>
    </r>
    <r>
      <rPr>
        <sz val="11"/>
        <rFont val="Calibri"/>
        <family val="2"/>
      </rPr>
      <t xml:space="preserve"> </t>
    </r>
  </si>
  <si>
    <t>2005-2006 data are included). These averages are weighted with country specific total births in 2013, and represent data from countries covering at least 50% of regional number of births.</t>
  </si>
  <si>
    <t>- Data not available.</t>
  </si>
  <si>
    <t>DHS</t>
  </si>
  <si>
    <t xml:space="preserve">Demographic and Health Surveys </t>
  </si>
  <si>
    <t>MICS</t>
  </si>
  <si>
    <t xml:space="preserve">Multiple Indicator Cluster Surveys </t>
  </si>
  <si>
    <t>Other NS</t>
  </si>
  <si>
    <t>Other National Surveys</t>
  </si>
  <si>
    <t>RHS</t>
  </si>
  <si>
    <t>Reproductive Health Surveys</t>
  </si>
  <si>
    <t>SHHS</t>
  </si>
  <si>
    <t>Sudan household survey</t>
  </si>
  <si>
    <t>Source:</t>
  </si>
  <si>
    <t>2010 Nature</t>
  </si>
  <si>
    <t>2013 Nature</t>
  </si>
  <si>
    <t>CA</t>
  </si>
  <si>
    <t>M</t>
  </si>
  <si>
    <t>TFYRMacedonia</t>
  </si>
  <si>
    <t>Figure 2. Healthy life at birth and number of years spent in ill-health for women, 2012</t>
  </si>
  <si>
    <t>Euro area (17 countries)</t>
  </si>
  <si>
    <t>Major depressive disorders</t>
  </si>
  <si>
    <t>Drowning</t>
  </si>
  <si>
    <t>Anxiety disorders</t>
  </si>
  <si>
    <t>Central Europe</t>
  </si>
  <si>
    <t>Eastern Europe</t>
  </si>
  <si>
    <t>Central Asia</t>
  </si>
  <si>
    <t>Western Europe</t>
  </si>
  <si>
    <t>EU-EFTA</t>
  </si>
  <si>
    <t>Breast cancer</t>
  </si>
  <si>
    <t>Low back pain</t>
  </si>
  <si>
    <t>Stroke</t>
  </si>
  <si>
    <t>HIV/AIDS</t>
  </si>
  <si>
    <t>Lung cancer</t>
  </si>
  <si>
    <t>Road injury</t>
  </si>
  <si>
    <t>Self-harm</t>
  </si>
  <si>
    <t>Cirrhosis</t>
  </si>
  <si>
    <t>Diabetes</t>
  </si>
  <si>
    <t>Colorectal cancer</t>
  </si>
  <si>
    <t>Age group: 70+ years</t>
  </si>
  <si>
    <t>Alzheimer's disease</t>
  </si>
  <si>
    <t>Falls</t>
  </si>
  <si>
    <t xml:space="preserve">Male </t>
  </si>
  <si>
    <t>Both</t>
  </si>
  <si>
    <t>DALY per 1000 women, 2000</t>
  </si>
  <si>
    <t>Age</t>
  </si>
  <si>
    <t>60-69</t>
  </si>
  <si>
    <t>EUR country</t>
  </si>
  <si>
    <t>Ischaemic heart disease  (60-69 years), 2012</t>
  </si>
  <si>
    <t>Stroke (60-69 years), 2012</t>
  </si>
  <si>
    <t>Ischaemic heart disease (60-69 years), 2000</t>
  </si>
  <si>
    <t>Stroke (60-69 years), 2000</t>
  </si>
  <si>
    <t>Source: http://mdgs.un.org/unsd/mdg/Data.aspx</t>
  </si>
  <si>
    <t>Last available</t>
  </si>
  <si>
    <t>http://mdgs.un.org/unsd/mdg/Data.aspx</t>
  </si>
  <si>
    <t>Last year available</t>
  </si>
  <si>
    <t>Figure 26. Urban rurla differences in antenatal care coverage (at least one visit) (%), last year available for 18 WHO Member States</t>
  </si>
  <si>
    <t>Age group: &lt;5 years</t>
  </si>
  <si>
    <t>Source</t>
  </si>
  <si>
    <t>DHS 2012</t>
  </si>
  <si>
    <t>2011-2012</t>
  </si>
  <si>
    <t>MICS 2011-2012</t>
  </si>
  <si>
    <t>DHS 2006</t>
  </si>
  <si>
    <t>DHS 2008</t>
  </si>
  <si>
    <t>-</t>
  </si>
  <si>
    <t>Other NS 2004</t>
  </si>
  <si>
    <t>2005-2006</t>
  </si>
  <si>
    <t>MICS 2005-2006</t>
  </si>
  <si>
    <t>DHS 2000</t>
  </si>
  <si>
    <t>DHS  2010</t>
  </si>
  <si>
    <t>MICS(Prelim) 2012</t>
  </si>
  <si>
    <t>MICS 2012</t>
  </si>
  <si>
    <r>
      <rPr>
        <b/>
        <sz val="10"/>
        <rFont val="Arial"/>
        <family val="2"/>
      </rPr>
      <t>Notes:</t>
    </r>
    <r>
      <rPr>
        <sz val="10"/>
        <rFont val="Arial"/>
        <family val="2"/>
      </rPr>
      <t xml:space="preserve"> estimates have been computed to ensure comparability across countries; thus they are not necessarily the same as official statistics of the countries, which may use alternative rigorous methods. MMR estimates have been rounded according to the following scheme: &lt;100, no rounding; 100–999, rounded to nearest 10; and &gt;1000, rounded to nearest 100. The numbers of maternal deaths have been rounded as follows: &lt;1000, rounded to nearest 10; 1000–9999, rounded to nearest 100; and &gt;10 000, rounded to nearest 1000. </t>
    </r>
    <r>
      <rPr>
        <b/>
        <sz val="10"/>
        <rFont val="Arial"/>
        <family val="2"/>
      </rPr>
      <t>Source:</t>
    </r>
    <r>
      <rPr>
        <sz val="10"/>
        <rFont val="Arial"/>
        <family val="2"/>
      </rPr>
      <t xml:space="preserve"> World Health Organization, UNICEF, United Nations Population Fund and The World Bank, Trends in Maternal Mortality: 1990 to 2013, WHO, Geneva, 2014, http://data.unicef.org/maternal-health/maternal-mortality, Access: 26 May 2015</t>
    </r>
  </si>
  <si>
    <t>Access: 26 May 2015</t>
  </si>
  <si>
    <t>Bosnia Herzegovina</t>
  </si>
  <si>
    <t>Rep Moldova</t>
  </si>
  <si>
    <t>LE women 2012</t>
    <phoneticPr fontId="7" type="noConversion"/>
  </si>
  <si>
    <t>LE women 2000</t>
    <phoneticPr fontId="7" type="noConversion"/>
  </si>
  <si>
    <r>
      <rPr>
        <b/>
        <sz val="11"/>
        <color theme="1"/>
        <rFont val="Calibri"/>
        <family val="2"/>
        <scheme val="minor"/>
      </rPr>
      <t xml:space="preserve">Notes: </t>
    </r>
    <r>
      <rPr>
        <sz val="11"/>
        <color theme="1"/>
        <rFont val="Calibri"/>
        <family val="2"/>
        <scheme val="minor"/>
      </rPr>
      <t xml:space="preserve">Antenatal care coverage refers to the percentage of women aged 15–49 years attended at least once during pregnancy by skilled health personnel (doctor, nurse or midwife). The indicator refers to women who had a live birth in a recent time period, generally two years for MICS (Multiple Indicator Cluster Surveys) and five years for DHS (Demographic and Health Surveys). </t>
    </r>
    <r>
      <rPr>
        <b/>
        <sz val="11"/>
        <color theme="1"/>
        <rFont val="Calibri"/>
        <family val="2"/>
        <scheme val="minor"/>
      </rPr>
      <t xml:space="preserve">Source: </t>
    </r>
    <r>
      <rPr>
        <sz val="11"/>
        <color theme="1"/>
        <rFont val="Calibri"/>
        <family val="2"/>
        <scheme val="minor"/>
      </rPr>
      <t>UNICEF Global databases 2014 based on DHS, MICS and other nationally representative surveys, http://www.data.unicef.org/maternal-health/antenatal-care</t>
    </r>
  </si>
  <si>
    <t>Lower respiratory infections</t>
  </si>
  <si>
    <t>Neonatal encephalopathy</t>
  </si>
  <si>
    <t>Preterm birth complications</t>
  </si>
  <si>
    <t>Neonatal sepsis</t>
  </si>
  <si>
    <t>Meningitis</t>
  </si>
  <si>
    <r>
      <t>Pre-primary School Participation</t>
    </r>
    <r>
      <rPr>
        <b/>
        <sz val="14"/>
        <color indexed="8"/>
        <rFont val="Calibri"/>
        <family val="2"/>
      </rPr>
      <t>, 2009-2012*</t>
    </r>
  </si>
  <si>
    <t>Number of years of schooling that a child of school entrance age can expect to receive if prevailing patterns of age-specific enrolment rates persist throughout life disaggregated by sex..</t>
    <phoneticPr fontId="7" type="noConversion"/>
  </si>
  <si>
    <t>Source: UNESCO Institute for Statistics (2013). Data Centre. Accessed November, 2013 http://stats.uis.unesco.org</t>
    <phoneticPr fontId="7" type="noConversion"/>
  </si>
  <si>
    <r>
      <rPr>
        <b/>
        <sz val="10"/>
        <rFont val="Arial"/>
        <family val="2"/>
      </rPr>
      <t>Notes</t>
    </r>
    <r>
      <rPr>
        <sz val="10"/>
        <rFont val="Arial"/>
        <family val="2"/>
      </rPr>
      <t xml:space="preserve">: estimates have been computed to ensure comparability across countries, thus they are not necessarily the same as official statistics of the countries, which may use alternative rigorous methods. The MMR and lifetime risk have been rounded according to the following scheme: &lt;100, no rounding; 100–999, rounded to nearest 10; and &gt;1000, rounded to nearest 100. The numbers of maternal deaths have been rounded as follows: &lt;1000, rounded to nearest 10; 1000–9999, rounded to nearest 100; and &gt;10 000, rounded to nearest 1000. </t>
    </r>
    <r>
      <rPr>
        <b/>
        <sz val="10"/>
        <rFont val="Arial"/>
        <family val="2"/>
      </rPr>
      <t>Source:</t>
    </r>
    <r>
      <rPr>
        <sz val="10"/>
        <rFont val="Arial"/>
        <family val="2"/>
      </rPr>
      <t xml:space="preserve"> World Health Organization, UNICEF, United Nations Population Fund and The World Bank, Trends in Maternal Mortality: 1990 to 2013, WHO, Geneva, 2014, http://data.unicef.org/maternal-health/maternal-mortality</t>
    </r>
  </si>
  <si>
    <t>http://appsso.eurostat.ec.europa.eu/nui/show.do?dataset=ilc_peps01&amp;lang=en</t>
  </si>
  <si>
    <t>Access: 19 May 2015</t>
  </si>
  <si>
    <r>
      <rPr>
        <b/>
        <sz val="11"/>
        <color theme="1"/>
        <rFont val="Calibri"/>
        <family val="2"/>
        <scheme val="minor"/>
      </rPr>
      <t xml:space="preserve">Source: </t>
    </r>
    <r>
      <rPr>
        <sz val="11"/>
        <color theme="1"/>
        <rFont val="Calibri"/>
        <family val="2"/>
        <scheme val="minor"/>
      </rPr>
      <t>European Health for All Database (HFA, DB), WHO/Europe</t>
    </r>
  </si>
  <si>
    <t>http://ec.europa.eu/eurostat/web/gdp-and-beyond/quality-of-life/self-perceived-health1</t>
  </si>
  <si>
    <t>Access: Sarah, you provided the data for this.</t>
  </si>
  <si>
    <r>
      <rPr>
        <b/>
        <sz val="11"/>
        <rFont val="Calibri"/>
        <family val="2"/>
        <scheme val="minor"/>
      </rPr>
      <t xml:space="preserve">Source: </t>
    </r>
    <r>
      <rPr>
        <sz val="11"/>
        <rFont val="Calibri"/>
        <family val="2"/>
        <scheme val="minor"/>
      </rPr>
      <t>WHO mortality database</t>
    </r>
  </si>
  <si>
    <t>Access: 28 March 2015</t>
  </si>
  <si>
    <r>
      <rPr>
        <b/>
        <sz val="11"/>
        <color theme="1"/>
        <rFont val="Calibri"/>
        <family val="2"/>
        <scheme val="minor"/>
      </rPr>
      <t xml:space="preserve">Notes: </t>
    </r>
    <r>
      <rPr>
        <sz val="11"/>
        <color theme="1"/>
        <rFont val="Calibri"/>
        <family val="2"/>
        <scheme val="minor"/>
      </rPr>
      <t>Unemployment rates represent unemployed persons as a percentage of the labour force. The labour force is the total number of people employed and unemployed. Unemployed persons comprise persons aged 15 to 74 who were: a. without work during the reference week, b. currently available for work, i.e. were available for paid employment or self-employment before the end of the two weeks following the reference week, c. actively seeking work, i.e. had taken specific steps in the four weeks period ending with the reference week to seek paid employment or self-employment or who found a job to start later, i.e. within a period of, at most, three months.</t>
    </r>
    <r>
      <rPr>
        <b/>
        <sz val="11"/>
        <color theme="1"/>
        <rFont val="Calibri"/>
        <family val="2"/>
        <scheme val="minor"/>
      </rPr>
      <t xml:space="preserve"> Source:</t>
    </r>
    <r>
      <rPr>
        <sz val="11"/>
        <color theme="1"/>
        <rFont val="Calibri"/>
        <family val="2"/>
        <scheme val="minor"/>
      </rPr>
      <t xml:space="preserve"> Eurostat, http://ec.europa.eu/eurostat/tgm/table.do?tab=table&amp;plugin=1&amp;language=en&amp;pcode=tsdec450</t>
    </r>
  </si>
  <si>
    <t>Access 28 March 2015</t>
  </si>
  <si>
    <t>International Human Development Indicators</t>
  </si>
  <si>
    <t>Accessed: 7/14/2014,2:10 PM from: http://hdr.undp.org</t>
    <phoneticPr fontId="7" type="noConversion"/>
  </si>
  <si>
    <t>Expected years of schooling, females and males (years), 2011</t>
    <phoneticPr fontId="7" type="noConversion"/>
  </si>
  <si>
    <t>Data in the tables are those available to the Human Development Report Office as of 15 November, 2013, unless otherwise specified.</t>
  </si>
  <si>
    <t>Females</t>
    <phoneticPr fontId="7" type="noConversion"/>
  </si>
  <si>
    <t>Note</t>
    <phoneticPr fontId="7" type="noConversion"/>
  </si>
  <si>
    <t>Data refer to the most recent year available during the period specified, 2008</t>
  </si>
  <si>
    <t>TFYR of Macedonia</t>
    <phoneticPr fontId="7" type="noConversion"/>
  </si>
  <si>
    <t>Data refer to the most recent year available during the period specified, 2010</t>
  </si>
  <si>
    <t>//Build a javascript array, with the footnote description in each element, indexed by its number footnoteDescriptions = []; footnoteDescriptions[1] = " Data refer to the most recent year available during the period specified."; footnoteDescriptions[2] = " Based on data from UNESCO Institute for Statistics (2011)."; footnoteDescriptions[3] = " Based on data on school life expectancy from UNESCO Institute for Statistics, Data Center. Accessed in May 2013."; footnoteDescriptions[4] = " HDRO estimate based on 2006 Census."; $(document).ready(function() { //Activate tablesorter plugin $("#MainTable").tablesorter( { headers: { 0 : { sorter: "digit" }, 1 : { sorter: "text" }, 2 : { sorter: "floatWithThousandSeparator" }, 3 : { sorter: "floatWithThousandSeparator" }, 4 : { sorter: "floatWithThousandSeparator" }, 5 : { sorter: "floatWithThousandSeparator" }, 6 : { sorter: "floatWithThousandSeparator" }, 7 : { sorter: "floatWithThousandSeparator" }, 8 : { sorter: "floatWithThousandSeparator" }, 9 : { sorter: "floatWithThousandSeparator" }, 10 : { sorter: "floatWithThousandSeparator" }, 11 : { sorter: "floatWithThousandSeparator" }, }, }); //assign the sortStart event, to show a waiting message when ordering $("#MainTable").bind("sortStart",function() { $("#waitingDiv").show(); }).bind("sortEnd",function() { $("#waitingDiv").hide(); }); //assign the footnote description to each item $.each(footnoteDescriptions, function(footnoteNumber,footnoteDescription){ footnoteDescription = "offsetx=[-250] offsety=[10] cssheader=[definition] header=[ Note] body=[</t>
  </si>
  <si>
    <t>" + footnoteDescription + "</t>
  </si>
  <si>
    <t>5. Differences between women and men in Healthy Life Expectancy (HLY) and life expectancy at birth (years 2000 and 2012)</t>
    <phoneticPr fontId="7" type="noConversion"/>
  </si>
  <si>
    <t>HALE women 2000</t>
    <phoneticPr fontId="7" type="noConversion"/>
  </si>
  <si>
    <t>LE women 2000</t>
    <phoneticPr fontId="7" type="noConversion"/>
  </si>
  <si>
    <t>Years in ill-health 2000</t>
    <phoneticPr fontId="7" type="noConversion"/>
  </si>
  <si>
    <t>HALE women 2012</t>
    <phoneticPr fontId="7" type="noConversion"/>
  </si>
  <si>
    <t>LE women 2012</t>
    <phoneticPr fontId="7" type="noConversion"/>
  </si>
  <si>
    <t>Years in ill-health 2012</t>
    <phoneticPr fontId="7" type="noConversion"/>
  </si>
  <si>
    <t>]"; $(".footnote.footnoteNumber" + footnoteNumber).attr("title", footnoteDescription); }); } );</t>
  </si>
  <si>
    <t>Footnotes</t>
  </si>
  <si>
    <t>Data refer to the most recent year available during the period specified.</t>
  </si>
  <si>
    <t>Based on data from UNESCO Institute for Statistics (2011).</t>
  </si>
  <si>
    <t>Based on data on school life expectancy from UNESCO Institute for Statistics, Data Center. Accessed in May 2013.</t>
  </si>
  <si>
    <t>HDRO estimate based on 2006 Census.</t>
  </si>
  <si>
    <t>Symbols</t>
  </si>
  <si>
    <t>..</t>
  </si>
  <si>
    <t>Data not available</t>
  </si>
  <si>
    <t>(.)</t>
  </si>
  <si>
    <t>Greater (or less) than zero but small enough to be rounded off to zero at the displayed number of decimal points</t>
  </si>
  <si>
    <t>&lt;</t>
  </si>
  <si>
    <t>Less than</t>
  </si>
  <si>
    <t>Not applicable</t>
  </si>
  <si>
    <t>T</t>
  </si>
  <si>
    <t>Accessed: 7/14/2014,2:05 PM from: http://hdr.undp.org</t>
  </si>
  <si>
    <t xml:space="preserve">Mean years of schooling females aged 25 years and above), 2013 </t>
    <phoneticPr fontId="7" type="noConversion"/>
  </si>
  <si>
    <t>Average number of years of education received by people ages 25 and older, converted from educational attainment levels using official durations of each level.</t>
  </si>
  <si>
    <t xml:space="preserve">Source: Barro and Lee (2013), UNESCO Institute for Statistics (2013b) and HDRO estimates based on data on educational attainment from UNESCO Institute for Statistics (2013b) and on methodology from Barro and Lee (2013). </t>
    <phoneticPr fontId="7" type="noConversion"/>
  </si>
  <si>
    <t>Females</t>
    <phoneticPr fontId="7" type="noConversion"/>
  </si>
  <si>
    <t>TFYR of Macedonia</t>
    <phoneticPr fontId="7" type="noConversion"/>
  </si>
  <si>
    <t>Data refer to the most recent year available during the period specified, 2009</t>
  </si>
  <si>
    <t>Liechtenstein</t>
  </si>
  <si>
    <t>Data refer to the most recent year available during the period specified, 2007</t>
  </si>
  <si>
    <t>Data refer to the most recent year available during the period specified, 2010</t>
    <phoneticPr fontId="7" type="noConversion"/>
  </si>
  <si>
    <t>//Build a javascript array, with the footnote description in each element, indexed by its number footnoteDescriptions = []; footnoteDescriptions[1] = " Data refer to the most recent year available during the period specified."; footnoteDescriptions[2] = " HDRO updates based on data on educational attainment from UNESCO Institute for Statistics (2013) and Barro and Lee (2013) methodology."; footnoteDescriptions[3] = " Barro and Lee (2013)."; footnoteDescriptions[4] = " HDRO estimates based on UIS educational attainment data."; footnoteDescriptions[5] = " HDRO calculations based on recent MICS data."; footnoteDescriptions[6] = " HDRO estimate based on country's most recent DHS data."; $(document).ready(function() { //Activate tablesorter plugin $("#MainTable").tablesorter( { headers: { 0 : { sorter: "digit" }, 1 : { sorter: "text" }, 2 : { sorter: "floatWithThousandSeparator" }, 3 : { sorter: "floatWithThousandSeparator" }, 4 : { sorter: "floatWithThousandSeparator" }, 5 : { sorter: "floatWithThousandSeparator" }, 6 : { sorter: "floatWithThousandSeparator" }, 7 : { sorter: "floatWithThousandSeparator" }, 8 : { sorter: "floatWithThousandSeparator" }, 9 : { sorter: "floatWithThousandSeparator" }, }, }); //assign the sortStart event, to show a waiting message when ordering $("#MainTable").bind("sortStart",function() { $("#waitingDiv").show(); }).bind("sortEnd",function() { $("#waitingDiv").hide(); }); //assign the footnote description to each item $.each(footnoteDescriptions, function(footnoteNumber,footnoteDescription){ footnoteDescription = "offsetx=[-250] offsety=[10] cssheader=[definition] header=[ Note] body=[</t>
  </si>
  <si>
    <t>HDRO updates based on data on educational attainment from UNESCO Institute for Statistics (2013) and Barro and Lee (2013) methodology.</t>
  </si>
  <si>
    <t>Barro and Lee (2013).</t>
  </si>
  <si>
    <t>HDRO estimates based on UIS educational attainment data.</t>
  </si>
  <si>
    <t>HDRO calculations based on recent MICS data.</t>
  </si>
  <si>
    <t>HDRO estimate based on country's most recent DHS data.</t>
  </si>
  <si>
    <t>Prevalence of current smokeless tobacco use among adolescents aged 13–15 years in selected countries (2013–2014)</t>
  </si>
  <si>
    <t>Geogia; 2014</t>
  </si>
  <si>
    <t>Greece; 2013</t>
  </si>
  <si>
    <t>Kyrgyzstan; 2014</t>
  </si>
  <si>
    <t>Latvia; 2014</t>
  </si>
  <si>
    <t>Lithuania; 2014</t>
  </si>
  <si>
    <t>Montenegro; 2014</t>
  </si>
  <si>
    <t xml:space="preserve">Figure 15. Pre-primary school participation for girls, 2009-2012*                         </t>
    <phoneticPr fontId="7" type="noConversion"/>
  </si>
  <si>
    <r>
      <t>Figure</t>
    </r>
    <r>
      <rPr>
        <b/>
        <sz val="11"/>
        <color indexed="8"/>
        <rFont val="Calibri"/>
        <family val="2"/>
      </rPr>
      <t xml:space="preserve"> 11</t>
    </r>
    <r>
      <rPr>
        <b/>
        <sz val="11"/>
        <color theme="1"/>
        <rFont val="Calibri"/>
        <family val="2"/>
        <scheme val="minor"/>
      </rPr>
      <t>. Risk of poverty and social exclusion, women and men, in the EU, 2013</t>
    </r>
    <phoneticPr fontId="7" type="noConversion"/>
  </si>
  <si>
    <t>Figure 9. Unemployment rate for women aged 25 to 74 in 2007, 2010 and 2014, annual average(%)</t>
    <phoneticPr fontId="7" type="noConversion"/>
  </si>
  <si>
    <r>
      <t>Notes:</t>
    </r>
    <r>
      <rPr>
        <sz val="11"/>
        <color theme="1"/>
        <rFont val="Calibri"/>
        <family val="2"/>
        <scheme val="minor"/>
      </rPr>
      <t xml:space="preserve"> Old age pension recipient is defined as elderly  people above statutory pensionable age receiving an old age pension (contributory  non contributory or both) expressed as a percentage of eligible  population. Source: United Nations Development Programme (UNDP), http://hdr.undp.org/en/data</t>
    </r>
    <phoneticPr fontId="7" type="noConversion"/>
  </si>
  <si>
    <t>*The regional averages are based on countries with available data on the period 2009-2013 (except India for which 2005-2006 data are included). These averages are weighted with country specific total births in 2013, and represent data from countries covering at least 50% of regional number of births.</t>
  </si>
  <si>
    <t>http://www.data.unicef.org/maternal-health/antenatal-care</t>
    <phoneticPr fontId="7" type="noConversion"/>
  </si>
  <si>
    <t xml:space="preserve">All age </t>
  </si>
  <si>
    <t>65 years or over</t>
  </si>
  <si>
    <t>Very good and good</t>
  </si>
  <si>
    <t>Self-perceived health by sex, age and educational attainment level [hlth_silc_02]</t>
  </si>
  <si>
    <t>ISCED97</t>
  </si>
  <si>
    <t>Pre-primary, primary and lower secondary education (levels 0-2)</t>
  </si>
  <si>
    <t>Upper secondary and post-secondary non-tertiary education (levels 3 and 4)</t>
  </si>
  <si>
    <t>Republic of Moldova; 2013</t>
  </si>
  <si>
    <t>San Marino; 2014</t>
  </si>
  <si>
    <t>Serbia; 2013</t>
  </si>
  <si>
    <t>Italy; 2014</t>
  </si>
  <si>
    <t>Romania; 2013</t>
  </si>
  <si>
    <t>First and second stage of tertiary education (levels 5 and 6)</t>
  </si>
  <si>
    <t>From 75 to 84 years</t>
  </si>
  <si>
    <t>85 years or over</t>
  </si>
  <si>
    <t>New Mem States (12)</t>
  </si>
  <si>
    <t>75 years or over</t>
  </si>
  <si>
    <t>GYTS - Global Youth Tobacco Survey</t>
  </si>
  <si>
    <t>Survey years 2013 and 2014</t>
  </si>
  <si>
    <t>Countries included of which the factsheet has been approved by the country</t>
  </si>
  <si>
    <t>Countries</t>
  </si>
  <si>
    <t>Boys</t>
  </si>
  <si>
    <t>Girls</t>
  </si>
  <si>
    <t>Notes: Data for following countries has low-reliability - Croatia (levels 0-2); Portugal (levels 3-4) and Iceland (levels 5-6).</t>
    <phoneticPr fontId="7" type="noConversion"/>
  </si>
  <si>
    <r>
      <t>Notes:</t>
    </r>
    <r>
      <rPr>
        <sz val="11"/>
        <color indexed="8"/>
        <rFont val="Calibri"/>
        <family val="2"/>
      </rPr>
      <t xml:space="preserve"> The indicator measures the percentage of the population of females in these EU countries and aged 16-24 years at risk of poverty or social exclusion, 2013</t>
    </r>
    <phoneticPr fontId="7" type="noConversion"/>
  </si>
  <si>
    <t>Figure 1. Differences in life expectancy for women in the WHO European Region,  2000 - 2012</t>
    <phoneticPr fontId="7" type="noConversion"/>
  </si>
  <si>
    <r>
      <t xml:space="preserve">Figure </t>
    </r>
    <r>
      <rPr>
        <b/>
        <sz val="11"/>
        <color indexed="8"/>
        <rFont val="Calibri"/>
        <family val="2"/>
      </rPr>
      <t>12</t>
    </r>
    <r>
      <rPr>
        <b/>
        <sz val="11"/>
        <color theme="1"/>
        <rFont val="Calibri"/>
        <family val="2"/>
        <scheme val="minor"/>
      </rPr>
      <t>. Old age pension recipient by sex (% of statutory pension age population), 2004-2013</t>
    </r>
    <phoneticPr fontId="7" type="noConversion"/>
  </si>
  <si>
    <r>
      <t>Figure</t>
    </r>
    <r>
      <rPr>
        <b/>
        <sz val="11"/>
        <color indexed="8"/>
        <rFont val="Calibri"/>
        <family val="2"/>
      </rPr>
      <t xml:space="preserve"> 14</t>
    </r>
    <r>
      <rPr>
        <b/>
        <sz val="11"/>
        <color theme="1"/>
        <rFont val="Calibri"/>
        <family val="2"/>
        <scheme val="minor"/>
      </rPr>
      <t>. Trends in Infant Mortality for girls and boys in the WHO European Region, 2000-2012</t>
    </r>
    <phoneticPr fontId="7" type="noConversion"/>
  </si>
  <si>
    <t>Maternal mortality (at least 1 visit) URBAN/RURAL</t>
  </si>
  <si>
    <r>
      <t>Notes:</t>
    </r>
    <r>
      <rPr>
        <sz val="11"/>
        <color theme="1"/>
        <rFont val="Calibri"/>
        <family val="2"/>
        <scheme val="minor"/>
      </rPr>
      <t xml:space="preserve"> The indicator measures the percentage of the population of females in these EU countries and aged 6-10 years at risk of poverty or social exclusion, 2013</t>
    </r>
    <phoneticPr fontId="7" type="noConversion"/>
  </si>
  <si>
    <t>Figure 17a. The risk of poverty or social exclusion (%) for adolescent girls aged 11-15 years in the EU, 2013</t>
    <phoneticPr fontId="7" type="noConversion"/>
  </si>
  <si>
    <t>Figure 17b. The risk of poverty or social exclusion (%) for females  aged 16-24 years in the EU, 2013</t>
    <phoneticPr fontId="7" type="noConversion"/>
  </si>
  <si>
    <r>
      <t>Notes:</t>
    </r>
    <r>
      <rPr>
        <sz val="11"/>
        <color indexed="8"/>
        <rFont val="Calibri"/>
        <family val="2"/>
      </rPr>
      <t xml:space="preserve"> The indicator measures the percentage of the population of females in these EU countries and aged 11-15 years at risk of poverty or social exclusion, 2013</t>
    </r>
    <phoneticPr fontId="7" type="noConversion"/>
  </si>
  <si>
    <r>
      <t>Notes:</t>
    </r>
    <r>
      <rPr>
        <sz val="11"/>
        <color indexed="8"/>
        <rFont val="Calibri"/>
        <family val="2"/>
      </rPr>
      <t xml:space="preserve"> The indicator measures the percentage of the population of males and females of all ages in these EU countries at risk of poverty or social exclusion, 2013</t>
    </r>
    <phoneticPr fontId="7" type="noConversion"/>
  </si>
  <si>
    <t>Figure 11. Risk for poverty or social exclusion (%), women and men (all ages) in the EU, 2013</t>
    <phoneticPr fontId="7" type="noConversion"/>
  </si>
  <si>
    <t>Psychological well-being (energy and vitality index) by sex, age and educational attainment level (average score) [hlth_ehis_st8]</t>
    <phoneticPr fontId="7" type="noConversion"/>
  </si>
  <si>
    <t>TIME</t>
  </si>
  <si>
    <t>2008</t>
  </si>
  <si>
    <t>From 65 to 74 years</t>
  </si>
  <si>
    <t>GEO/ISCED97</t>
  </si>
  <si>
    <t xml:space="preserve">All ISCED 1997 levels </t>
  </si>
  <si>
    <t>Figure 33. Differences among women aged 65+ years in EU countries for self-rated health very good-good (%), by education in 2013</t>
    <phoneticPr fontId="7" type="noConversion"/>
  </si>
  <si>
    <t>Fig. 1.  Life expectancy (LE) for women in the WHO European Region (years), 2000 and 2012</t>
  </si>
  <si>
    <t>MKDa</t>
  </si>
  <si>
    <t>Source: WHO (reference number to come)</t>
  </si>
  <si>
    <t>http://apps.who.int/gho/data/node.main.3?lang=en [DAMIAN - WEB ADDRESS WILL APPEAR IN REF LIST, NOT HERE]</t>
  </si>
  <si>
    <t>Fig. 2. Healthy life expectancy at birth (years)  and number of years in ill health, women in the WHO European Region, 2012</t>
  </si>
  <si>
    <r>
      <t xml:space="preserve">Fig. </t>
    </r>
    <r>
      <rPr>
        <b/>
        <sz val="11"/>
        <color indexed="8"/>
        <rFont val="Calibri"/>
        <family val="2"/>
      </rPr>
      <t>4</t>
    </r>
    <r>
      <rPr>
        <b/>
        <sz val="11"/>
        <color theme="1"/>
        <rFont val="Calibri"/>
        <family val="2"/>
        <scheme val="minor"/>
      </rPr>
      <t>. Mortality and disease burden (DALYs) in females by subregion, age group and broad causes, 2010</t>
    </r>
  </si>
  <si>
    <t>Diarrhoeal diseases</t>
  </si>
  <si>
    <t>Iron-deficiency anaemia</t>
  </si>
  <si>
    <t>Sudden infant death syndrome</t>
  </si>
  <si>
    <t xml:space="preserve">Age group: 5–14 years </t>
  </si>
  <si>
    <t>EU–EFTAa</t>
  </si>
  <si>
    <t>a European Union–European Free Trade Association.</t>
  </si>
  <si>
    <t xml:space="preserve">a The former Yugoslav Republic of Macedonia (MKD) is an abbreviation of the International Organization for Standardization (ISO). </t>
  </si>
  <si>
    <t>Leukaemia</t>
  </si>
  <si>
    <t>Age group: 15–49 years</t>
  </si>
  <si>
    <t>Ischaemic heart disease</t>
  </si>
  <si>
    <t>Age group: 50–69 years</t>
  </si>
  <si>
    <t>COPDb</t>
  </si>
  <si>
    <t>b Chronic obstructive pulmonary disease.</t>
  </si>
  <si>
    <r>
      <t>Fig.</t>
    </r>
    <r>
      <rPr>
        <b/>
        <sz val="11"/>
        <color indexed="8"/>
        <rFont val="Calibri"/>
        <family val="2"/>
      </rPr>
      <t xml:space="preserve"> 5</t>
    </r>
    <r>
      <rPr>
        <b/>
        <sz val="11"/>
        <color theme="1"/>
        <rFont val="Calibri"/>
        <family val="2"/>
        <scheme val="minor"/>
      </rPr>
      <t>. Global gender gap for 47 Member States of the WHO European Region, 2014</t>
    </r>
  </si>
  <si>
    <t xml:space="preserve">http://vizhub.healthdata.org/irank/arrow.php </t>
  </si>
  <si>
    <t>[DAMIAN - WEB ADDRESS WILL APPEAR IN REF LIST, NOT HERE]</t>
  </si>
  <si>
    <r>
      <t xml:space="preserve">Fig. </t>
    </r>
    <r>
      <rPr>
        <b/>
        <sz val="11"/>
        <color indexed="8"/>
        <rFont val="Calibri"/>
        <family val="2"/>
      </rPr>
      <t>8</t>
    </r>
    <r>
      <rPr>
        <b/>
        <sz val="11"/>
        <color theme="1"/>
        <rFont val="Calibri"/>
        <family val="2"/>
        <scheme val="minor"/>
      </rPr>
      <t>. Labour force participation rate (%), males and females, 2012</t>
    </r>
  </si>
  <si>
    <t>Fig. 3. Female life expectancy at birth (2013) by estimated gross national income (GNI), purchasing power parity (PPP) $ per capita (2011)</t>
  </si>
  <si>
    <t xml:space="preserve">a The former Yugoslav Republic of Macedonia (MKD) is an abbreviation of the ISO. </t>
  </si>
  <si>
    <t xml:space="preserve">http://apps.who.int/gho/data/node.main.3?lang=en </t>
  </si>
  <si>
    <t>[NOTE TO DESIGNER: WEB ADDRESS WILL APPEAR IN REF LIST, NOT HERE]</t>
  </si>
  <si>
    <r>
      <rPr>
        <b/>
        <sz val="11"/>
        <color theme="1"/>
        <rFont val="Calibri"/>
        <family val="2"/>
        <scheme val="minor"/>
      </rPr>
      <t>Note:</t>
    </r>
    <r>
      <rPr>
        <sz val="11"/>
        <color theme="1"/>
        <rFont val="Calibri"/>
        <family val="2"/>
        <scheme val="minor"/>
      </rPr>
      <t xml:space="preserve"> healthy life expectancy at birth is defined as the average number of years that a person can expect to live in full health by taking into account years lived in less than full health due to disease and/or injury. The method of estimation is as follows: the equivalent lost healthy year fractions required for the HALE calculation are estimated as the all-cause years lost due to disability (YLD) rate per capita, adjusted for independent comorbidity, by age, sex and country. Sullivan's method uses the equivalent lost healthy year fraction (adjusted for comorbidity) at each age in the current population (for a given year) to divide the hypothetical years of life lived by a period life table cohort at different ages into years of equivalent full health and equivalent lost healthy years. The predominant type of statistics is: Predicted. Limitations are that the first challenge is lack of reliable data on mortality and morbidity, especially from low-income countries. Other issues include lack of comparability of self-reported data from health interviews and the measurement of health-state preferences for such self-reporting. </t>
    </r>
    <r>
      <rPr>
        <b/>
        <sz val="11"/>
        <color theme="1"/>
        <rFont val="Calibri"/>
        <family val="2"/>
        <scheme val="minor"/>
      </rPr>
      <t/>
    </r>
  </si>
  <si>
    <t>[NOTE TO DESIGNER: runing order for legends: footnote a, Note, Source.]</t>
  </si>
  <si>
    <t xml:space="preserve">Republic of Moldova </t>
  </si>
  <si>
    <t>DALYs</t>
  </si>
  <si>
    <t>NOTE TO DESIGNER: bottom line under horizontal axis, change to: Score (0=inequality, 1=equality)</t>
  </si>
  <si>
    <t>Labour force participation rate (% aged 15 and above), female (2012)</t>
  </si>
  <si>
    <t>Labour force participation rate (% aged 15 and above), male (2012)</t>
  </si>
  <si>
    <t>http://reports.weforum.org/global-gender-gap-report-2014/rankings/  [DAMIAN - WEB ADDRESS WILL APPEAR IN REF LIST, NOT HERE]</t>
  </si>
  <si>
    <t>Fig. 10. Gender pay gap in unadjusted form</t>
  </si>
  <si>
    <t>Fig. 10. Gender pay gap (%) in the EU, 2013</t>
  </si>
  <si>
    <t>a Countries belonging to the EU after January 2007.</t>
  </si>
  <si>
    <t>NOTE FOR DESIGNER: text below not for inclusion</t>
  </si>
  <si>
    <t xml:space="preserve">[IS THIS TEXT FOR INCLUSION?]:=not available p=provisional d=definition differs (see metadata) e=estimated </t>
  </si>
  <si>
    <t>EU27a</t>
  </si>
  <si>
    <r>
      <t>Fig. 1</t>
    </r>
    <r>
      <rPr>
        <b/>
        <sz val="11"/>
        <color indexed="8"/>
        <rFont val="Calibri"/>
        <family val="2"/>
      </rPr>
      <t>3</t>
    </r>
    <r>
      <rPr>
        <b/>
        <sz val="11"/>
        <color theme="1"/>
        <rFont val="Calibri"/>
        <family val="2"/>
        <scheme val="minor"/>
      </rPr>
      <t>. Probability of dying before 5 years for girls and boys, WHO European Region, 2000–2012</t>
    </r>
  </si>
  <si>
    <r>
      <rPr>
        <i/>
        <sz val="11"/>
        <color theme="1"/>
        <rFont val="Calibri"/>
        <family val="2"/>
        <scheme val="minor"/>
      </rPr>
      <t>Source:</t>
    </r>
    <r>
      <rPr>
        <sz val="11"/>
        <color theme="1"/>
        <rFont val="Calibri"/>
        <family val="2"/>
        <scheme val="minor"/>
      </rPr>
      <t xml:space="preserve"> WHO Regional Office for Europe (reference number to come).</t>
    </r>
  </si>
  <si>
    <r>
      <rPr>
        <i/>
        <sz val="11"/>
        <color theme="1"/>
        <rFont val="Calibri"/>
        <family val="2"/>
        <scheme val="minor"/>
      </rPr>
      <t xml:space="preserve">Source: </t>
    </r>
    <r>
      <rPr>
        <sz val="11"/>
        <color theme="1"/>
        <rFont val="Calibri"/>
        <family val="2"/>
        <scheme val="minor"/>
      </rPr>
      <t>WHO (reference number to come).</t>
    </r>
  </si>
  <si>
    <r>
      <rPr>
        <i/>
        <sz val="11"/>
        <rFont val="Calibri"/>
        <family val="2"/>
      </rPr>
      <t>Source:</t>
    </r>
    <r>
      <rPr>
        <sz val="11"/>
        <rFont val="Calibri"/>
        <family val="2"/>
      </rPr>
      <t xml:space="preserve"> United Nations Development Programme (reference number to come).</t>
    </r>
  </si>
  <si>
    <r>
      <rPr>
        <i/>
        <sz val="11"/>
        <color theme="1"/>
        <rFont val="Calibri"/>
        <family val="2"/>
        <scheme val="minor"/>
      </rPr>
      <t>Source:</t>
    </r>
    <r>
      <rPr>
        <sz val="11"/>
        <color theme="1"/>
        <rFont val="Calibri"/>
        <family val="2"/>
        <scheme val="minor"/>
      </rPr>
      <t xml:space="preserve"> United Nations Development Programme (reference number to come).</t>
    </r>
  </si>
  <si>
    <r>
      <rPr>
        <i/>
        <sz val="11"/>
        <color theme="1"/>
        <rFont val="Calibri"/>
        <family val="2"/>
        <scheme val="minor"/>
      </rPr>
      <t xml:space="preserve">Note: </t>
    </r>
    <r>
      <rPr>
        <sz val="11"/>
        <color theme="1"/>
        <rFont val="Calibri"/>
        <family val="2"/>
        <scheme val="minor"/>
      </rPr>
      <t>data not taken from WHO as there is no information on European subregions dissagregated by gender and age group.</t>
    </r>
  </si>
  <si>
    <r>
      <rPr>
        <i/>
        <sz val="11"/>
        <color theme="1"/>
        <rFont val="Calibri"/>
        <family val="2"/>
        <scheme val="minor"/>
      </rPr>
      <t>Source:</t>
    </r>
    <r>
      <rPr>
        <sz val="11"/>
        <color theme="1"/>
        <rFont val="Calibri"/>
        <family val="2"/>
        <scheme val="minor"/>
      </rPr>
      <t xml:space="preserve"> Institute for Health Metrics and Evaluation  (reference number to come).</t>
    </r>
  </si>
  <si>
    <r>
      <rPr>
        <i/>
        <sz val="11"/>
        <rFont val="Calibri"/>
        <family val="2"/>
        <scheme val="minor"/>
      </rPr>
      <t>Note:</t>
    </r>
    <r>
      <rPr>
        <sz val="11"/>
        <rFont val="Calibri"/>
        <family val="2"/>
        <scheme val="minor"/>
      </rPr>
      <t xml:space="preserve"> the Global Gender Gap Index presented in this report seeks to measure one important aspect of gender equality, which is the relative gaps between women and men across four key areas: health, education, economy and politics.</t>
    </r>
  </si>
  <si>
    <r>
      <rPr>
        <i/>
        <sz val="11"/>
        <color theme="1"/>
        <rFont val="Calibri"/>
        <family val="2"/>
        <scheme val="minor"/>
      </rPr>
      <t>Source:</t>
    </r>
    <r>
      <rPr>
        <sz val="11"/>
        <color theme="1"/>
        <rFont val="Calibri"/>
        <family val="2"/>
        <scheme val="minor"/>
      </rPr>
      <t xml:space="preserve"> World Economic Forum (reference number to come).  </t>
    </r>
  </si>
  <si>
    <r>
      <rPr>
        <i/>
        <sz val="11"/>
        <color theme="1"/>
        <rFont val="Calibri"/>
        <family val="2"/>
        <scheme val="minor"/>
      </rPr>
      <t>Note:</t>
    </r>
    <r>
      <rPr>
        <sz val="11"/>
        <color theme="1"/>
        <rFont val="Calibri"/>
        <family val="2"/>
        <scheme val="minor"/>
      </rPr>
      <t xml:space="preserve"> labour force participation rate is defined as the proportion of a country’s working-age population (aged 15 and older) engaged in the labour market, either through working or actively looking for work, expressed as a percentage of the working-age population. </t>
    </r>
  </si>
  <si>
    <r>
      <rPr>
        <i/>
        <sz val="11"/>
        <color theme="1"/>
        <rFont val="Calibri"/>
        <family val="2"/>
        <scheme val="minor"/>
      </rPr>
      <t xml:space="preserve">Source: </t>
    </r>
    <r>
      <rPr>
        <sz val="11"/>
        <color theme="1"/>
        <rFont val="Calibri"/>
        <family val="2"/>
        <scheme val="minor"/>
      </rPr>
      <t>United Nations Development Programme (reference number to come).</t>
    </r>
  </si>
  <si>
    <r>
      <rPr>
        <i/>
        <sz val="11"/>
        <color theme="1"/>
        <rFont val="Calibri"/>
        <family val="2"/>
        <scheme val="minor"/>
      </rPr>
      <t xml:space="preserve">Note: </t>
    </r>
    <r>
      <rPr>
        <sz val="11"/>
        <color theme="1"/>
        <rFont val="Calibri"/>
        <family val="2"/>
        <scheme val="minor"/>
      </rPr>
      <t xml:space="preserve">This represents the difference between average gross hourly earnings of male paid employees and female paid employees as a percentage of gross hourly earnings of male paid employees.  The population consists of all paid employees in enterprises with 10 employees or more.  The data for the following  are provisional: Croatia, EU27, Finland, France, Germancy,  Luxembourg, Poland  and Spain.  The data for Romania are estimated. </t>
    </r>
  </si>
  <si>
    <r>
      <rPr>
        <i/>
        <sz val="11"/>
        <color theme="1"/>
        <rFont val="Calibri"/>
        <family val="2"/>
        <scheme val="minor"/>
      </rPr>
      <t>Source:</t>
    </r>
    <r>
      <rPr>
        <sz val="11"/>
        <color theme="1"/>
        <rFont val="Calibri"/>
        <family val="2"/>
        <scheme val="minor"/>
      </rPr>
      <t xml:space="preserve"> Eurostat (refernce number to come).</t>
    </r>
  </si>
  <si>
    <t>Fig. 16. The risk of poverty or social exclusion (%) for girls aged younger than 6 years in the EU, 2013</t>
  </si>
  <si>
    <t>EU15a</t>
  </si>
  <si>
    <t>a Countries belonging to the EU before May 2004.</t>
  </si>
  <si>
    <t>EU-27b</t>
  </si>
  <si>
    <t>b Countries belonging to the EU after January 2007.</t>
  </si>
  <si>
    <t>New Member States (12)</t>
  </si>
  <si>
    <t>MKDc/d</t>
  </si>
  <si>
    <t xml:space="preserve">d The former Yugoslav Republic of Macedonia (MKD) is an abbreviation of the ISO. </t>
  </si>
  <si>
    <t>c [SEE NOTE TO GAUDEN ABOVE]</t>
  </si>
  <si>
    <r>
      <t xml:space="preserve">Source: </t>
    </r>
    <r>
      <rPr>
        <sz val="10"/>
        <rFont val="Arial"/>
        <family val="2"/>
      </rPr>
      <t>Eurostat (reference number to come)</t>
    </r>
  </si>
  <si>
    <r>
      <t>Notes:</t>
    </r>
    <r>
      <rPr>
        <sz val="11"/>
        <color theme="1"/>
        <rFont val="Calibri"/>
        <family val="2"/>
        <scheme val="minor"/>
      </rPr>
      <t xml:space="preserve"> The indicator measures the percentage of the population of females in these EU countries and aged less than 6 years at risk of poverty or social exclusion, 2013</t>
    </r>
  </si>
  <si>
    <r>
      <rPr>
        <i/>
        <sz val="10"/>
        <rFont val="Arial"/>
        <family val="2"/>
      </rPr>
      <t>Note</t>
    </r>
    <r>
      <rPr>
        <sz val="10"/>
        <rFont val="Arial"/>
        <family val="2"/>
      </rPr>
      <t>: the indicator measures the percentage of the population of females in these EU countries  aged younger than 6 years who were at risk of poverty or social exclusion in 2013.</t>
    </r>
  </si>
  <si>
    <t>NOTE TO DESIGNER - FIG 16b BELOW IS NOT TO BE INCLUDED</t>
  </si>
  <si>
    <t>Georgia; 2014</t>
  </si>
  <si>
    <t>Italy and Romania have been added to this list of countries. [THIS TEXT NOT FOR INCLUSION]</t>
  </si>
  <si>
    <t>Fig. 19. Prevalence of current smoked-tobacco use among adolescents aged 13–15 years in selected countries (2013–2014)</t>
  </si>
  <si>
    <t>Fig. 21. Adolescent birth rate (2010–2015) by mean years of schooling (2002–2012)</t>
  </si>
  <si>
    <t>Mean years of schooling: female (2002–2012)</t>
  </si>
  <si>
    <t xml:space="preserve">Adolescent birth rate (births per 1 000 women aged 15–19, 2010–2015) </t>
  </si>
  <si>
    <t xml:space="preserve">Fig. 22.  Attitudes among girls and boys aged 15–19 years towards wife-beating, 2005–2013a </t>
  </si>
  <si>
    <t>a Data refer to the most recent year available during the 2005–2013 period.</t>
  </si>
  <si>
    <t xml:space="preserve">Notes: Justification of wife-beating among adolescents – the percentage of boys and girls aged 15–19 who consider a husband to be justified in hitting or beating his wife for at least one of the specified reasons: if his wife burns the food, argues with him, goes out without telling him, neglects the children or refuses sexual relations. Data on male attitudes were not availble for Georgia, Montenegro, Tajikistan, the former Yugoslav Republic of Macedonia and Turkey, probably because the question is not asked of males. </t>
  </si>
  <si>
    <r>
      <rPr>
        <i/>
        <sz val="11"/>
        <color theme="1"/>
        <rFont val="Calibri"/>
        <family val="2"/>
        <scheme val="minor"/>
      </rPr>
      <t xml:space="preserve">Source: </t>
    </r>
    <r>
      <rPr>
        <sz val="11"/>
        <color theme="1"/>
        <rFont val="Calibri"/>
        <family val="2"/>
        <scheme val="minor"/>
      </rPr>
      <t xml:space="preserve">UNICEF (reference number to come). </t>
    </r>
  </si>
  <si>
    <t>http://www.unicef.org/sowc2011/fullreport.php [web site]. (http://www.unicef.org/sowc2011/fullreport.php, accessed 31 May 2015).</t>
  </si>
  <si>
    <t>Justification of wife-beating among adolescents (%)
2005–2013</t>
  </si>
  <si>
    <t xml:space="preserve">b The former Yugoslav Republic of Macedonia (MKD) is an abbreviation of the ISO. </t>
  </si>
  <si>
    <t>MKDb</t>
  </si>
  <si>
    <t>Fig. 24. Differences in bad–very bad self-reported health among women aged 18–44 years by highest and lowest equivalized income quintiles in selected EU Member States, 2013</t>
  </si>
  <si>
    <r>
      <rPr>
        <i/>
        <sz val="11"/>
        <color theme="1"/>
        <rFont val="Calibri"/>
        <family val="2"/>
        <scheme val="minor"/>
      </rPr>
      <t>Note:</t>
    </r>
    <r>
      <rPr>
        <sz val="11"/>
        <color theme="1"/>
        <rFont val="Calibri"/>
        <family val="2"/>
        <scheme val="minor"/>
      </rPr>
      <t xml:space="preserve"> Quintile 1 is the lowest equivalised income (lowest 20%) and Quintile 5 is the highest. Data for Croatia, the Czech Republic, Serbia and the Uinited Kingdom (5th quintile only) are noted as having low reliability.</t>
    </r>
  </si>
  <si>
    <r>
      <t xml:space="preserve">Source: </t>
    </r>
    <r>
      <rPr>
        <sz val="11"/>
        <color theme="1"/>
        <rFont val="Calibri"/>
        <family val="2"/>
        <scheme val="minor"/>
      </rPr>
      <t xml:space="preserve">Eurostate (reference number to come). </t>
    </r>
  </si>
  <si>
    <r>
      <t>Fig. 2</t>
    </r>
    <r>
      <rPr>
        <b/>
        <sz val="11"/>
        <rFont val="Calibri"/>
        <family val="2"/>
      </rPr>
      <t>7</t>
    </r>
    <r>
      <rPr>
        <b/>
        <sz val="11"/>
        <rFont val="Calibri"/>
        <family val="2"/>
        <scheme val="minor"/>
      </rPr>
      <t xml:space="preserve">c. Unmet need for family planning, total, percentage (last year available) </t>
    </r>
  </si>
  <si>
    <r>
      <t xml:space="preserve">Source: </t>
    </r>
    <r>
      <rPr>
        <sz val="11"/>
        <color theme="1"/>
        <rFont val="Calibri"/>
        <family val="2"/>
        <scheme val="minor"/>
      </rPr>
      <t>United Nations Statistics Division (refence number to come).</t>
    </r>
  </si>
  <si>
    <t>Fig. 29. Maternal mortality ratio compared to the female population with at least some secondary education (2005–2012)</t>
  </si>
  <si>
    <t>Maternal mortality ratio (deaths per 100 000 live births), 2010</t>
  </si>
  <si>
    <t>Female population with at least some secondary education (% aged 25 and above), 2005–2012</t>
  </si>
  <si>
    <r>
      <rPr>
        <i/>
        <sz val="11"/>
        <color theme="1"/>
        <rFont val="Calibri"/>
        <family val="2"/>
        <scheme val="minor"/>
      </rPr>
      <t>Source</t>
    </r>
    <r>
      <rPr>
        <sz val="11"/>
        <color theme="1"/>
        <rFont val="Calibri"/>
        <family val="2"/>
        <scheme val="minor"/>
      </rPr>
      <t>: United Nations Development Programme (reference number to come)</t>
    </r>
  </si>
  <si>
    <r>
      <t>Fig. 34. Differences among women aged 65+ years in EU countries for self-rated health, very good–good, by wealth quintiles, 2013</t>
    </r>
    <r>
      <rPr>
        <sz val="11"/>
        <color theme="1"/>
        <rFont val="Calibri"/>
        <family val="2"/>
        <scheme val="minor"/>
      </rPr>
      <t xml:space="preserve">
</t>
    </r>
  </si>
  <si>
    <r>
      <rPr>
        <i/>
        <sz val="11"/>
        <color theme="1"/>
        <rFont val="Calibri"/>
        <family val="2"/>
        <scheme val="minor"/>
      </rPr>
      <t>Note:</t>
    </r>
    <r>
      <rPr>
        <sz val="11"/>
        <color theme="1"/>
        <rFont val="Calibri"/>
        <family val="2"/>
        <scheme val="minor"/>
      </rPr>
      <t xml:space="preserve"> the data for Q5 for the following countries were of low reliability: Croatia, Czech Republic, Iceland and Lithuania.</t>
    </r>
    <r>
      <rPr>
        <b/>
        <sz val="11"/>
        <color theme="1"/>
        <rFont val="Calibri"/>
        <family val="2"/>
        <scheme val="minor"/>
      </rPr>
      <t xml:space="preserve"> [QUESTION FROM ALEX: WHAT DOES 'Q5' REFER TO?]</t>
    </r>
  </si>
  <si>
    <t>NOTE TO DESIGNER: TEXT BELOW HORIZONTAL AXIS - REPLACE HYPHENS WITH EN-DASHES ['very good–good', not 'very good-good']</t>
  </si>
  <si>
    <t>Fig. 38. The risk of poverty or social exclusion (%) for women aged 65–74 and 75+ years in the EU, 2013</t>
  </si>
  <si>
    <t>EU15b</t>
  </si>
  <si>
    <t>b Countries belonging to the EU before May 2004.</t>
  </si>
  <si>
    <t>New Mem States (12)c</t>
  </si>
  <si>
    <r>
      <t xml:space="preserve">c </t>
    </r>
    <r>
      <rPr>
        <b/>
        <sz val="11"/>
        <color theme="1"/>
        <rFont val="Calibri"/>
        <family val="2"/>
        <scheme val="minor"/>
      </rPr>
      <t>[SEE QUERY TO GAUDEN IN FIG. 16 a]</t>
    </r>
  </si>
  <si>
    <t>MKDd</t>
  </si>
  <si>
    <r>
      <rPr>
        <i/>
        <sz val="11"/>
        <color theme="1"/>
        <rFont val="Calibri"/>
        <family val="2"/>
        <scheme val="minor"/>
      </rPr>
      <t>Note:</t>
    </r>
    <r>
      <rPr>
        <sz val="11"/>
        <color theme="1"/>
        <rFont val="Calibri"/>
        <family val="2"/>
        <scheme val="minor"/>
      </rPr>
      <t xml:space="preserve"> the indicator measures the percentage of the population of females in these EU countries aged 65–74 and 75+ years who were at risk of poverty or social exclusion, 2013.</t>
    </r>
  </si>
  <si>
    <r>
      <t xml:space="preserve">Source: </t>
    </r>
    <r>
      <rPr>
        <sz val="11"/>
        <color theme="1"/>
        <rFont val="Calibri"/>
        <family val="2"/>
        <scheme val="minor"/>
      </rPr>
      <t xml:space="preserve">Eurostat (reference number to come). </t>
    </r>
  </si>
  <si>
    <r>
      <rPr>
        <i/>
        <sz val="11"/>
        <color theme="1"/>
        <rFont val="Calibri"/>
        <family val="2"/>
        <scheme val="minor"/>
      </rPr>
      <t>Note:</t>
    </r>
    <r>
      <rPr>
        <sz val="11"/>
        <color theme="1"/>
        <rFont val="Calibri"/>
        <family val="2"/>
        <scheme val="minor"/>
      </rPr>
      <t xml:space="preserve"> healthy life expectancy at birth is defined as the average number of years that a person can expect to live in full health by taking into account years lived in less than full health due to disease and/or injury. The method of estimation is as follows: the equivalent lost healthy year fractions required for the HALE calculation are estimated as the all-cause years lost due to disability (YLD) rate per capita, adjusted for independent comorbidity, by age, sex and country. Sullivan's method uses the equivalent lost healthy year fraction (adjusted for comorbidity) at each age in the current population (for a given year) to divide the hypothetical years of life lived by a period life table cohort at different ages into years of equivalent full health and equivalent lost healthy years. The predominant type of statistics is: Predicted. Limitations are that the first challenge is lack of reliable data on mortality and morbidity, especially from low-income countries. Other issues include lack of comparability of self-reported data from health interviews and the measurement of health-state preferences for such self-reporting. </t>
    </r>
  </si>
  <si>
    <t>Table 11. ADOLESCENTS</t>
  </si>
  <si>
    <t>Countries and areas</t>
  </si>
  <si>
    <t>Adolescent population</t>
  </si>
  <si>
    <t>Adolescents currently married/ in union (%)</t>
  </si>
  <si>
    <t xml:space="preserve">2005-2013* </t>
  </si>
  <si>
    <t>Births by age 18 (%)</t>
  </si>
  <si>
    <t>Justification of wife-beating among adolescents (%)</t>
  </si>
  <si>
    <t>2005-2013*</t>
  </si>
  <si>
    <t>Use of mass media among adolescents (%)</t>
  </si>
  <si>
    <t>Lower secondary school gross enrolment ratio</t>
  </si>
  <si>
    <t>Upper secondary school gross enrolment ratio</t>
  </si>
  <si>
    <t>Comprehensive knowledge of HIV among adolescents (%)</t>
  </si>
  <si>
    <t>2009-2013*</t>
  </si>
  <si>
    <t>Age 10-19 (Thousands)</t>
  </si>
  <si>
    <t>Proportion of total population (%)</t>
  </si>
  <si>
    <t>2009-2012*</t>
  </si>
  <si>
    <t>Afghanistan</t>
  </si>
  <si>
    <t xml:space="preserve"> – </t>
  </si>
  <si>
    <t xml:space="preserve">  </t>
  </si>
  <si>
    <t xml:space="preserve"> x </t>
  </si>
  <si>
    <t>Algeria</t>
  </si>
  <si>
    <t>Angola</t>
  </si>
  <si>
    <t>Antigua and Barbuda</t>
  </si>
  <si>
    <t>Argentina</t>
  </si>
  <si>
    <t>Australia</t>
  </si>
  <si>
    <t>Bahamas</t>
  </si>
  <si>
    <t>Bahrain</t>
  </si>
  <si>
    <t>Bangladesh</t>
  </si>
  <si>
    <t xml:space="preserve"> y </t>
  </si>
  <si>
    <t>Barbados</t>
  </si>
  <si>
    <t>Belize</t>
  </si>
  <si>
    <t>Benin</t>
  </si>
  <si>
    <t>Bhutan</t>
  </si>
  <si>
    <t>Bolivia (Plurinational State of)</t>
  </si>
  <si>
    <t>Botswana</t>
  </si>
  <si>
    <t>Brazil</t>
  </si>
  <si>
    <t>Brunei Darussalam</t>
  </si>
  <si>
    <t>Burkina Faso</t>
  </si>
  <si>
    <t>Burundi</t>
  </si>
  <si>
    <t>Cabo Verde</t>
  </si>
  <si>
    <t>Cambodia</t>
  </si>
  <si>
    <t>Cameroon</t>
  </si>
  <si>
    <t>Canada</t>
  </si>
  <si>
    <t>Central African Republic</t>
  </si>
  <si>
    <t>Chad</t>
  </si>
  <si>
    <t>Chile</t>
  </si>
  <si>
    <t>China</t>
  </si>
  <si>
    <t>Colombia</t>
  </si>
  <si>
    <t>Comoros</t>
  </si>
  <si>
    <t>Congo</t>
  </si>
  <si>
    <t>Cook Islands</t>
  </si>
  <si>
    <t>Costa Rica</t>
  </si>
  <si>
    <t>Côte d'Ivoire</t>
  </si>
  <si>
    <t>Cuba</t>
  </si>
  <si>
    <t>Democratic People's Republic of Korea</t>
  </si>
  <si>
    <t>Democratic Republic of the Congo</t>
  </si>
  <si>
    <t>Djibouti</t>
  </si>
  <si>
    <t>Dominica</t>
  </si>
  <si>
    <t>Dominican Republic</t>
  </si>
  <si>
    <t>Ecuador</t>
  </si>
  <si>
    <t>Egypt</t>
  </si>
  <si>
    <t>El Salvador</t>
  </si>
  <si>
    <t>Equatorial Guinea</t>
  </si>
  <si>
    <t>Eritrea</t>
  </si>
  <si>
    <t>Ethiopia</t>
  </si>
  <si>
    <t>Fiji</t>
  </si>
  <si>
    <t>Gabon</t>
  </si>
  <si>
    <t>Gambia</t>
  </si>
  <si>
    <t>Ghana</t>
  </si>
  <si>
    <t>Grenada</t>
  </si>
  <si>
    <t>Guatemala</t>
  </si>
  <si>
    <t>Guinea</t>
  </si>
  <si>
    <t>Guinea-Bissau</t>
  </si>
  <si>
    <t>Guyana</t>
  </si>
  <si>
    <t>Haiti</t>
  </si>
  <si>
    <t>Holy See</t>
  </si>
  <si>
    <t>Honduras</t>
  </si>
  <si>
    <t>India</t>
  </si>
  <si>
    <t>Indonesia</t>
  </si>
  <si>
    <t xml:space="preserve"> y,p </t>
  </si>
  <si>
    <t>Iran (Islamic Republic of)</t>
  </si>
  <si>
    <t>Iraq</t>
  </si>
  <si>
    <t>Jamaica</t>
  </si>
  <si>
    <t>Japan</t>
  </si>
  <si>
    <t>Jordan</t>
  </si>
  <si>
    <t>Kenya</t>
  </si>
  <si>
    <t>Kiribati</t>
  </si>
  <si>
    <t>Kuwait</t>
  </si>
  <si>
    <t>Lao People's Democratic Republic</t>
  </si>
  <si>
    <t>Lebanon</t>
  </si>
  <si>
    <t>Lesotho</t>
  </si>
  <si>
    <t>Liberia</t>
  </si>
  <si>
    <t>Libya</t>
  </si>
  <si>
    <t>Madagascar</t>
  </si>
  <si>
    <t>Malawi</t>
  </si>
  <si>
    <t>Malaysia</t>
  </si>
  <si>
    <t>Maldives</t>
  </si>
  <si>
    <t>Mali</t>
  </si>
  <si>
    <t>Marshall Islands</t>
  </si>
  <si>
    <t>Mauritania</t>
  </si>
  <si>
    <t>Mauritius</t>
  </si>
  <si>
    <t>Mexico</t>
  </si>
  <si>
    <t>Micronesia (Federated States of)</t>
  </si>
  <si>
    <t>Mongolia</t>
  </si>
  <si>
    <t>Morocco</t>
  </si>
  <si>
    <t>Mozambique</t>
  </si>
  <si>
    <t>Myanmar</t>
  </si>
  <si>
    <t>Namibia</t>
  </si>
  <si>
    <t>Nauru</t>
  </si>
  <si>
    <t>Nepal</t>
  </si>
  <si>
    <t>New Zealand</t>
  </si>
  <si>
    <t>Nicaragua</t>
  </si>
  <si>
    <t>Niger</t>
  </si>
  <si>
    <t>Nigeria</t>
  </si>
  <si>
    <t>Niue</t>
  </si>
  <si>
    <t>Oman</t>
  </si>
  <si>
    <t>Pakistan</t>
  </si>
  <si>
    <t>Palau</t>
  </si>
  <si>
    <t>Panama</t>
  </si>
  <si>
    <t>Papua New Guinea</t>
  </si>
  <si>
    <t>Paraguay</t>
  </si>
  <si>
    <t>Peru</t>
  </si>
  <si>
    <t>Philippines</t>
  </si>
  <si>
    <t>Qatar</t>
  </si>
  <si>
    <t>Republic of Korea</t>
  </si>
  <si>
    <t>Rwanda</t>
  </si>
  <si>
    <t>Saint Kitts and Nevis</t>
  </si>
  <si>
    <t>Saint Lucia</t>
  </si>
  <si>
    <t>Saint Vincent and the Grenadines</t>
  </si>
  <si>
    <t>Samoa</t>
  </si>
  <si>
    <t>Sao Tome and Principe</t>
  </si>
  <si>
    <t>Saudi Arabia</t>
  </si>
  <si>
    <t>Senegal</t>
  </si>
  <si>
    <t>Seychelles</t>
  </si>
  <si>
    <t>Sierra Leone</t>
  </si>
  <si>
    <t>Singapore</t>
  </si>
  <si>
    <t>Solomon Islands</t>
  </si>
  <si>
    <t>Somalia</t>
  </si>
  <si>
    <t>South Africa</t>
  </si>
  <si>
    <t>South Sudan</t>
  </si>
  <si>
    <t>Sri Lanka</t>
  </si>
  <si>
    <t>Sudan</t>
  </si>
  <si>
    <t>Suriname</t>
  </si>
  <si>
    <t>Swaziland</t>
  </si>
  <si>
    <t>Syrian Arab Republic</t>
  </si>
  <si>
    <t>Thailand</t>
  </si>
  <si>
    <t>Timor-Leste</t>
  </si>
  <si>
    <t>Togo</t>
  </si>
  <si>
    <t>Tonga</t>
  </si>
  <si>
    <t>Trinidad and Tobago</t>
  </si>
  <si>
    <t>Tunisia</t>
  </si>
  <si>
    <t>Tuvalu</t>
  </si>
  <si>
    <t>Uganda</t>
  </si>
  <si>
    <t>United Arab Emirates</t>
  </si>
  <si>
    <t>United Republic of Tanzania</t>
  </si>
  <si>
    <t>United States</t>
  </si>
  <si>
    <t>Uruguay</t>
  </si>
  <si>
    <t>Vanuatu</t>
  </si>
  <si>
    <t>Venezuela (Bolivarian Republic of)</t>
  </si>
  <si>
    <t>Viet Nam</t>
  </si>
  <si>
    <t>Yemen</t>
  </si>
  <si>
    <t xml:space="preserve"> x,y </t>
  </si>
  <si>
    <t>Zambia</t>
  </si>
  <si>
    <t>Zimbabwe</t>
  </si>
  <si>
    <t>SUMMARY</t>
  </si>
  <si>
    <t>Sub-Saharan Africa</t>
  </si>
  <si>
    <t>Eastern and Southern Africa</t>
  </si>
  <si>
    <t>West and Central Africa</t>
  </si>
  <si>
    <t>Middle East and North Africa</t>
  </si>
  <si>
    <t>South Asia</t>
  </si>
  <si>
    <t>East Asia and Pacific</t>
  </si>
  <si>
    <t xml:space="preserve"> ** </t>
  </si>
  <si>
    <t>Latin America and Caribbean</t>
  </si>
  <si>
    <t>CEE/CIS</t>
  </si>
  <si>
    <t>Least developed countries</t>
  </si>
  <si>
    <t>World</t>
  </si>
  <si>
    <t>For a complete list of countries and areas in the regions, subregions and country categories, see page XX or visit http://data.unicef.org/index.php?section=regional-classifications.</t>
  </si>
  <si>
    <t>It is not advisable to compare data from consecutive editions of The State of the World’s Children.</t>
  </si>
  <si>
    <t>Notes:</t>
  </si>
  <si>
    <t>– Data not available.</t>
  </si>
  <si>
    <t>x Data refer to years or periods other than those specified in the column heading. Such data are not included in the calculation of regional and global averages, with the exception of 2005-2006 data from India. Estimates from data years prior to 2000 are not displayed.</t>
  </si>
  <si>
    <t>y Data differ from the standard definition or refer to only part of a country.  If they fall within the noted reference period, such data are included in the calculation of regional and global averages.</t>
  </si>
  <si>
    <t>p Based on small denominators (typically 25-49 unweighted cases).</t>
  </si>
  <si>
    <t>* Data refer to the most recent year available during the period specified in the column heading.</t>
  </si>
  <si>
    <t>** Excludes China.</t>
  </si>
  <si>
    <t>DEFINITIONS OF THE INDICATORS</t>
  </si>
  <si>
    <t>Adolescents currently married/in union – Percentage of boys and girls aged 15–19 who are currently married or in union. This indicator is meant to provide a snapshot of the current marital status of boys and girls in this age group. However, it is worth noting that those not married at the time of the survey are still exposed to the risk of marrying before they exit adolescence.</t>
  </si>
  <si>
    <t>Births by age 18 – Percentage of women aged 20–24 who gave birth before age 18. This standardized indicator from population-based surveys captures levels of fertility among adolescents up to the age of 18. Note that the data are based on the answers of women aged 20–24, whose risk of giving birth before the age of 18 is behind them.</t>
  </si>
  <si>
    <t>Adolescent birth rate – Number of births per 1,000 adolescent girls aged 15–19.</t>
  </si>
  <si>
    <t>Justification of wife-beating among adolescents – The percentage of boys and girls aged 15–19 who consider a husband to be justified in hitting or beating his wife for at least one of the specified reasons: if his wife burns the food, argues with him, goes out without telling him, neglects the children or refuses sexual relations.</t>
  </si>
  <si>
    <t>Use of mass media among adolescents – The percentage of boys and girls aged 15–19 who make use of at least one of the following types of information media at least once a week: newspaper, magazine, television or radio.</t>
  </si>
  <si>
    <t>Lower secondary school gross enrolment ratio – Number of children enrolled in lower secondary school, regardless of age, expressed as a percentage of the total number of children of official lower secondary school age.</t>
  </si>
  <si>
    <t>Upper secondary school gross enrolment ratio – Number of children enrolled in upper secondary school, regardless of age, expressed as a percentage of the total number of children of official upper secondary school age.</t>
  </si>
  <si>
    <t>Comprehensive knowledge of HIV among adolescents – Percentage of young men and women aged 15–19 who correctly identify the two major ways of preventing the sexual transmission of HIV (using condoms and limiting sex to one faithful, uninfected partner), who reject the two most common local misconceptions about HIV transmission and who know that a healthy-looking person can be HIV-positive.</t>
  </si>
  <si>
    <t>MAIN DATA SOURCES</t>
  </si>
  <si>
    <t>Adolescent population – United Nations Population Division.</t>
  </si>
  <si>
    <t>Adolescents currently married/in union – Demographic and Health Surveys (DHS), Multiple Indicator Cluster Surveys (MICS) and other national surveys.</t>
  </si>
  <si>
    <t>Births by age 18 – DHS and MICS.</t>
  </si>
  <si>
    <t>Adolescent birth rate – United Nations Population Division.</t>
  </si>
  <si>
    <t>Justification of wife beating among adolescents – DHS, MICS and other national surveys.</t>
  </si>
  <si>
    <t>Use of mass media among adolescents – AIDS Indicator Surveys (AIS), DHS, MICS and other national surveys.</t>
  </si>
  <si>
    <t>Gross enrolment ratio – UNESCO Institute for Statistics (UIS).</t>
  </si>
  <si>
    <t>Comprehensive knowledge of HIV among adolescents – AIS, DHS, MICS, Reproductive Health Surveys (RHS) and other national household surveys; HIV/AIDS Survey Indicators Database, &lt;www.measuredhs.com/hivdata&gt;.</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</si>
</sst>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0.00_);_(* \(#,##0.00\);_(* &quot;-&quot;??_);_(@_)"/>
    <numFmt numFmtId="165" formatCode="0.0"/>
    <numFmt numFmtId="166" formatCode="_(* #,##0_);_(* \(#,##0\);_(* &quot;-&quot;??_);_(@_)"/>
    <numFmt numFmtId="167" formatCode="dd\.mm\.yy"/>
    <numFmt numFmtId="168" formatCode="#,##0.0"/>
    <numFmt numFmtId="169" formatCode="#,###,##0.0"/>
    <numFmt numFmtId="170" formatCode="#,###,##0"/>
    <numFmt numFmtId="171" formatCode="#\ ###\ ##0"/>
  </numFmts>
  <fonts count="64" x14ac:knownFonts="1">
    <font>
      <sz val="11"/>
      <color theme="1"/>
      <name val="Calibri"/>
      <family val="2"/>
      <scheme val="minor"/>
    </font>
    <font>
      <b/>
      <sz val="10"/>
      <name val="Verdana"/>
    </font>
    <font>
      <sz val="10"/>
      <name val="Verdana"/>
    </font>
    <font>
      <b/>
      <sz val="11"/>
      <color theme="1"/>
      <name val="Calibri"/>
      <family val="2"/>
      <scheme val="minor"/>
    </font>
    <font>
      <b/>
      <sz val="12"/>
      <color theme="1"/>
      <name val="Calibri"/>
      <family val="2"/>
      <scheme val="minor"/>
    </font>
    <font>
      <b/>
      <sz val="14"/>
      <color theme="1"/>
      <name val="Calibri"/>
      <family val="2"/>
      <scheme val="minor"/>
    </font>
    <font>
      <i/>
      <sz val="11"/>
      <color theme="1"/>
      <name val="Calibri"/>
      <family val="2"/>
      <scheme val="minor"/>
    </font>
    <font>
      <sz val="8"/>
      <name val="Verdana"/>
    </font>
    <font>
      <b/>
      <sz val="14"/>
      <color indexed="8"/>
      <name val="Calibri"/>
      <family val="2"/>
    </font>
    <font>
      <b/>
      <sz val="11"/>
      <color indexed="8"/>
      <name val="Calibri"/>
      <family val="2"/>
    </font>
    <font>
      <sz val="11"/>
      <color indexed="8"/>
      <name val="Calibri"/>
      <family val="2"/>
    </font>
    <font>
      <sz val="9"/>
      <name val="Arial Narrow"/>
      <family val="2"/>
    </font>
    <font>
      <sz val="10"/>
      <name val="Arial"/>
      <family val="2"/>
    </font>
    <font>
      <sz val="11"/>
      <color indexed="60"/>
      <name val="Calibri"/>
      <family val="2"/>
    </font>
    <font>
      <sz val="12"/>
      <color indexed="8"/>
      <name val="Times New Roman"/>
      <family val="2"/>
    </font>
    <font>
      <b/>
      <sz val="9"/>
      <name val="Arial Narrow"/>
      <family val="2"/>
    </font>
    <font>
      <sz val="9"/>
      <color indexed="8"/>
      <name val="Arial Narrow"/>
      <family val="2"/>
    </font>
    <font>
      <b/>
      <sz val="12"/>
      <color indexed="8"/>
      <name val="Cambria"/>
      <family val="1"/>
    </font>
    <font>
      <b/>
      <sz val="10"/>
      <name val="Arial"/>
      <family val="2"/>
    </font>
    <font>
      <sz val="11"/>
      <color theme="1"/>
      <name val="Calibri"/>
      <family val="2"/>
      <scheme val="minor"/>
    </font>
    <font>
      <b/>
      <sz val="11"/>
      <color theme="3"/>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1"/>
      <color theme="3"/>
      <name val="Calibri"/>
      <family val="2"/>
      <scheme val="minor"/>
    </font>
    <font>
      <sz val="11"/>
      <name val="Calibri"/>
      <family val="2"/>
      <scheme val="minor"/>
    </font>
    <font>
      <sz val="10"/>
      <name val="Arial"/>
      <family val="2"/>
    </font>
    <font>
      <b/>
      <sz val="11"/>
      <name val="Arial Bold"/>
    </font>
    <font>
      <b/>
      <sz val="11"/>
      <name val="Arial"/>
      <family val="2"/>
    </font>
    <font>
      <sz val="10"/>
      <name val="Calibri"/>
      <family val="2"/>
      <scheme val="minor"/>
    </font>
    <font>
      <b/>
      <sz val="18"/>
      <color rgb="FFFF0000"/>
      <name val="Calibri"/>
      <family val="2"/>
      <scheme val="minor"/>
    </font>
    <font>
      <sz val="18"/>
      <color theme="1"/>
      <name val="Calibri"/>
      <family val="2"/>
      <scheme val="minor"/>
    </font>
    <font>
      <b/>
      <sz val="11"/>
      <name val="Calibri"/>
      <family val="2"/>
      <scheme val="minor"/>
    </font>
    <font>
      <sz val="10"/>
      <name val="Times New Roman"/>
      <family val="1"/>
    </font>
    <font>
      <sz val="11"/>
      <color rgb="FF333333"/>
      <name val="Calibri"/>
      <family val="2"/>
      <scheme val="minor"/>
    </font>
    <font>
      <b/>
      <sz val="11"/>
      <name val="Calibri"/>
      <family val="2"/>
    </font>
    <font>
      <sz val="10"/>
      <name val="Calibri"/>
      <family val="2"/>
    </font>
    <font>
      <sz val="11"/>
      <name val="Calibri"/>
      <family val="2"/>
    </font>
    <font>
      <sz val="10"/>
      <color theme="1"/>
      <name val="Calibri"/>
      <family val="2"/>
      <scheme val="minor"/>
    </font>
    <font>
      <sz val="11"/>
      <color indexed="8"/>
      <name val="Calibri"/>
      <family val="2"/>
    </font>
    <font>
      <b/>
      <sz val="11"/>
      <color indexed="8"/>
      <name val="Calibri"/>
      <family val="2"/>
      <scheme val="minor"/>
    </font>
    <font>
      <sz val="11"/>
      <color indexed="8"/>
      <name val="Calibri"/>
      <family val="2"/>
      <scheme val="minor"/>
    </font>
    <font>
      <sz val="11"/>
      <color rgb="FFFF0000"/>
      <name val="Calibri"/>
      <family val="2"/>
      <scheme val="minor"/>
    </font>
    <font>
      <b/>
      <sz val="18"/>
      <name val="Times"/>
    </font>
    <font>
      <sz val="10"/>
      <name val="Times"/>
    </font>
    <font>
      <u/>
      <sz val="10"/>
      <color indexed="12"/>
      <name val="Verdana"/>
    </font>
    <font>
      <b/>
      <sz val="10"/>
      <name val="Times"/>
    </font>
    <font>
      <sz val="10"/>
      <color indexed="8"/>
      <name val="Calibri"/>
      <family val="2"/>
    </font>
    <font>
      <sz val="8.8000000000000007"/>
      <color indexed="8"/>
      <name val="Tahoma"/>
      <family val="2"/>
    </font>
    <font>
      <u/>
      <sz val="11"/>
      <color indexed="12"/>
      <name val="Calibri"/>
      <family val="2"/>
    </font>
    <font>
      <b/>
      <sz val="18"/>
      <color indexed="10"/>
      <name val="Calibri"/>
      <family val="2"/>
    </font>
    <font>
      <i/>
      <sz val="11"/>
      <name val="Calibri"/>
      <family val="2"/>
    </font>
    <font>
      <i/>
      <sz val="11"/>
      <name val="Calibri"/>
      <family val="2"/>
      <scheme val="minor"/>
    </font>
    <font>
      <i/>
      <sz val="10"/>
      <name val="Arial"/>
      <family val="2"/>
    </font>
    <font>
      <sz val="12"/>
      <color rgb="FF000000"/>
      <name val="Times New Roman"/>
      <family val="1"/>
    </font>
    <font>
      <sz val="9"/>
      <color rgb="FF000000"/>
      <name val="Arial Narrow"/>
      <family val="2"/>
    </font>
    <font>
      <sz val="9"/>
      <color rgb="FF00B050"/>
      <name val="Arial Narrow"/>
      <family val="2"/>
    </font>
    <font>
      <sz val="9"/>
      <color rgb="FFFF0000"/>
      <name val="Arial Narrow"/>
      <family val="2"/>
    </font>
    <font>
      <b/>
      <sz val="14"/>
      <name val="Arial"/>
      <family val="2"/>
    </font>
    <font>
      <b/>
      <sz val="9"/>
      <color rgb="FF000000"/>
      <name val="Arial Narrow"/>
      <family val="2"/>
    </font>
    <font>
      <sz val="9"/>
      <color rgb="FF92D050"/>
      <name val="Arial Narrow"/>
      <family val="2"/>
    </font>
    <font>
      <vertAlign val="superscript"/>
      <sz val="9"/>
      <name val="Arial Narrow"/>
      <family val="2"/>
    </font>
    <font>
      <sz val="12"/>
      <color rgb="FFFF0000"/>
      <name val="Times New Roman"/>
      <family val="2"/>
    </font>
    <font>
      <sz val="9"/>
      <color rgb="FFFF0000"/>
      <name val="Arial"/>
      <family val="2"/>
    </font>
  </fonts>
  <fills count="16">
    <fill>
      <patternFill patternType="none"/>
    </fill>
    <fill>
      <patternFill patternType="gray125"/>
    </fill>
    <fill>
      <patternFill patternType="solid">
        <fgColor theme="5" tint="0.39997558519241921"/>
        <bgColor indexed="64"/>
      </patternFill>
    </fill>
    <fill>
      <patternFill patternType="solid">
        <fgColor theme="6" tint="0.39997558519241921"/>
        <bgColor indexed="64"/>
      </patternFill>
    </fill>
    <fill>
      <patternFill patternType="solid">
        <fgColor indexed="44"/>
        <bgColor indexed="64"/>
      </patternFill>
    </fill>
    <fill>
      <patternFill patternType="solid">
        <fgColor theme="5" tint="0.59999389629810485"/>
        <bgColor indexed="64"/>
      </patternFill>
    </fill>
    <fill>
      <patternFill patternType="solid">
        <fgColor rgb="FFFFFF00"/>
        <bgColor indexed="64"/>
      </patternFill>
    </fill>
    <fill>
      <patternFill patternType="solid">
        <fgColor rgb="FFC00000"/>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F2F2F2"/>
        <bgColor indexed="64"/>
      </patternFill>
    </fill>
    <fill>
      <patternFill patternType="solid">
        <fgColor indexed="55"/>
        <bgColor indexed="64"/>
      </patternFill>
    </fill>
    <fill>
      <patternFill patternType="solid">
        <fgColor indexed="23"/>
        <bgColor indexed="64"/>
      </patternFill>
    </fill>
    <fill>
      <patternFill patternType="solid">
        <fgColor indexed="9"/>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top/>
      <bottom/>
      <diagonal/>
    </border>
    <border>
      <left style="thin">
        <color indexed="8"/>
      </left>
      <right style="thin">
        <color indexed="8"/>
      </right>
      <top style="thin">
        <color indexed="8"/>
      </top>
      <bottom style="thin">
        <color indexed="8"/>
      </bottom>
      <diagonal/>
    </border>
    <border>
      <left style="thin">
        <color theme="6" tint="-0.499984740745262"/>
      </left>
      <right/>
      <top/>
      <bottom/>
      <diagonal/>
    </border>
    <border>
      <left style="thin">
        <color theme="6" tint="-0.499984740745262"/>
      </left>
      <right/>
      <top style="thin">
        <color theme="6" tint="-0.499984740745262"/>
      </top>
      <bottom/>
      <diagonal/>
    </border>
    <border>
      <left/>
      <right/>
      <top style="thin">
        <color theme="6" tint="-0.499984740745262"/>
      </top>
      <bottom/>
      <diagonal/>
    </border>
    <border>
      <left/>
      <right style="thin">
        <color theme="6" tint="-0.499984740745262"/>
      </right>
      <top style="thin">
        <color theme="6" tint="-0.499984740745262"/>
      </top>
      <bottom/>
      <diagonal/>
    </border>
    <border>
      <left/>
      <right style="thin">
        <color theme="6" tint="-0.499984740745262"/>
      </right>
      <top/>
      <bottom/>
      <diagonal/>
    </border>
    <border>
      <left style="thin">
        <color theme="6" tint="-0.499984740745262"/>
      </left>
      <right/>
      <top/>
      <bottom style="thin">
        <color theme="6" tint="-0.499984740745262"/>
      </bottom>
      <diagonal/>
    </border>
    <border>
      <left/>
      <right/>
      <top/>
      <bottom style="thin">
        <color theme="6" tint="-0.499984740745262"/>
      </bottom>
      <diagonal/>
    </border>
    <border>
      <left/>
      <right style="thin">
        <color theme="6" tint="-0.499984740745262"/>
      </right>
      <top/>
      <bottom style="thin">
        <color theme="6" tint="-0.499984740745262"/>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8"/>
      </left>
      <right style="thin">
        <color indexed="8"/>
      </right>
      <top style="thin">
        <color indexed="8"/>
      </top>
      <bottom style="thin">
        <color indexed="8"/>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right style="thin">
        <color rgb="FF000000"/>
      </right>
      <top style="thin">
        <color auto="1"/>
      </top>
      <bottom/>
      <diagonal/>
    </border>
    <border>
      <left/>
      <right style="thin">
        <color rgb="FF000000"/>
      </right>
      <top/>
      <bottom style="thin">
        <color auto="1"/>
      </bottom>
      <diagonal/>
    </border>
    <border>
      <left style="thin">
        <color rgb="FF000000"/>
      </left>
      <right/>
      <top style="thin">
        <color auto="1"/>
      </top>
      <bottom style="thin">
        <color auto="1"/>
      </bottom>
      <diagonal/>
    </border>
  </borders>
  <cellStyleXfs count="11">
    <xf numFmtId="0" fontId="0" fillId="0" borderId="0"/>
    <xf numFmtId="0" fontId="12" fillId="0" borderId="0"/>
    <xf numFmtId="0" fontId="12" fillId="0" borderId="0"/>
    <xf numFmtId="0" fontId="13" fillId="2" borderId="0" applyNumberFormat="0" applyBorder="0" applyAlignment="0" applyProtection="0"/>
    <xf numFmtId="0" fontId="14" fillId="0" borderId="0"/>
    <xf numFmtId="164" fontId="14" fillId="0" borderId="0" applyFont="0" applyFill="0" applyBorder="0" applyAlignment="0" applyProtection="0"/>
    <xf numFmtId="0" fontId="14" fillId="0" borderId="0"/>
    <xf numFmtId="0" fontId="18" fillId="0" borderId="0" applyNumberFormat="0" applyFill="0" applyBorder="0" applyProtection="0"/>
    <xf numFmtId="0" fontId="23" fillId="0" borderId="0" applyNumberFormat="0" applyFill="0" applyBorder="0" applyAlignment="0" applyProtection="0"/>
    <xf numFmtId="0" fontId="26" fillId="0" borderId="0" applyNumberFormat="0" applyFont="0" applyFill="0" applyBorder="0" applyAlignment="0" applyProtection="0"/>
    <xf numFmtId="0" fontId="33" fillId="0" borderId="0"/>
  </cellStyleXfs>
  <cellXfs count="314">
    <xf numFmtId="0" fontId="0" fillId="0" borderId="0" xfId="0"/>
    <xf numFmtId="0" fontId="0" fillId="2" borderId="0" xfId="0" applyFill="1"/>
    <xf numFmtId="0" fontId="0" fillId="3" borderId="0" xfId="0" applyFill="1"/>
    <xf numFmtId="0" fontId="3" fillId="0" borderId="0" xfId="0" applyFont="1"/>
    <xf numFmtId="0" fontId="4" fillId="0" borderId="0" xfId="0" applyFont="1"/>
    <xf numFmtId="0" fontId="6" fillId="0" borderId="0" xfId="0" applyFont="1"/>
    <xf numFmtId="0" fontId="5" fillId="3" borderId="0" xfId="0" applyFont="1" applyFill="1" applyAlignment="1">
      <alignment wrapText="1"/>
    </xf>
    <xf numFmtId="0" fontId="3" fillId="2" borderId="0" xfId="0" applyFont="1" applyFill="1"/>
    <xf numFmtId="0" fontId="9" fillId="0" borderId="0" xfId="0" applyFont="1"/>
    <xf numFmtId="0" fontId="9" fillId="0" borderId="0" xfId="0" applyFont="1" applyAlignment="1">
      <alignment horizontal="center"/>
    </xf>
    <xf numFmtId="0" fontId="9" fillId="0" borderId="4" xfId="0" applyFont="1" applyBorder="1" applyAlignment="1">
      <alignment horizontal="center" vertical="center"/>
    </xf>
    <xf numFmtId="0" fontId="11" fillId="0" borderId="0" xfId="2" applyFont="1" applyFill="1" applyBorder="1"/>
    <xf numFmtId="1" fontId="11" fillId="0" borderId="0" xfId="2" applyNumberFormat="1" applyFont="1" applyFill="1" applyAlignment="1">
      <alignment horizontal="right"/>
    </xf>
    <xf numFmtId="0" fontId="11" fillId="0" borderId="0" xfId="4" applyFont="1" applyFill="1" applyBorder="1" applyAlignment="1"/>
    <xf numFmtId="166" fontId="16" fillId="0" borderId="0" xfId="5" applyNumberFormat="1" applyFont="1" applyFill="1" applyBorder="1" applyAlignment="1">
      <alignment horizontal="right"/>
    </xf>
    <xf numFmtId="0" fontId="16" fillId="0" borderId="0" xfId="4" applyFont="1" applyFill="1" applyBorder="1"/>
    <xf numFmtId="1" fontId="11" fillId="0" borderId="0" xfId="4" applyNumberFormat="1" applyFont="1" applyFill="1" applyBorder="1"/>
    <xf numFmtId="0" fontId="0" fillId="0" borderId="0" xfId="0" applyBorder="1"/>
    <xf numFmtId="0" fontId="12" fillId="0" borderId="0" xfId="0" applyNumberFormat="1" applyFont="1" applyFill="1" applyBorder="1" applyAlignment="1"/>
    <xf numFmtId="167" fontId="12" fillId="0" borderId="0" xfId="0" applyNumberFormat="1" applyFont="1" applyFill="1" applyBorder="1" applyAlignment="1"/>
    <xf numFmtId="0" fontId="12" fillId="4" borderId="13" xfId="0" applyNumberFormat="1" applyFont="1" applyFill="1" applyBorder="1" applyAlignment="1"/>
    <xf numFmtId="168" fontId="12" fillId="0" borderId="13" xfId="0" applyNumberFormat="1" applyFont="1" applyFill="1" applyBorder="1" applyAlignment="1"/>
    <xf numFmtId="0" fontId="12" fillId="0" borderId="13" xfId="0" applyNumberFormat="1" applyFont="1" applyFill="1" applyBorder="1" applyAlignment="1"/>
    <xf numFmtId="0" fontId="23" fillId="0" borderId="0" xfId="8"/>
    <xf numFmtId="0" fontId="22" fillId="0" borderId="0" xfId="0" applyFont="1" applyFill="1"/>
    <xf numFmtId="0" fontId="3" fillId="5" borderId="0" xfId="0" applyFont="1" applyFill="1"/>
    <xf numFmtId="0" fontId="0" fillId="5" borderId="0" xfId="0" applyFill="1"/>
    <xf numFmtId="0" fontId="18" fillId="5" borderId="0" xfId="7" applyFont="1" applyFill="1" applyAlignment="1"/>
    <xf numFmtId="0" fontId="20" fillId="5" borderId="0" xfId="0" applyFont="1" applyFill="1"/>
    <xf numFmtId="0" fontId="24" fillId="0" borderId="0" xfId="0" applyFont="1"/>
    <xf numFmtId="0" fontId="3" fillId="6" borderId="4" xfId="0" applyFont="1" applyFill="1" applyBorder="1"/>
    <xf numFmtId="0" fontId="3" fillId="6" borderId="4" xfId="0" applyFont="1" applyFill="1" applyBorder="1" applyAlignment="1">
      <alignment wrapText="1"/>
    </xf>
    <xf numFmtId="0" fontId="0" fillId="0" borderId="0" xfId="0" applyFill="1"/>
    <xf numFmtId="0" fontId="0" fillId="0" borderId="0" xfId="0" applyFont="1"/>
    <xf numFmtId="0" fontId="23" fillId="0" borderId="0" xfId="8" applyAlignment="1">
      <alignment vertical="center"/>
    </xf>
    <xf numFmtId="0" fontId="18" fillId="0" borderId="0" xfId="0" applyNumberFormat="1" applyFont="1" applyFill="1" applyBorder="1" applyAlignment="1"/>
    <xf numFmtId="168" fontId="0" fillId="0" borderId="0" xfId="0" applyNumberFormat="1"/>
    <xf numFmtId="0" fontId="0" fillId="0" borderId="0" xfId="0" applyAlignment="1"/>
    <xf numFmtId="0" fontId="3" fillId="0" borderId="0" xfId="0" applyFont="1" applyAlignment="1">
      <alignment horizontal="center" vertical="center" wrapText="1"/>
    </xf>
    <xf numFmtId="0" fontId="0" fillId="0" borderId="0" xfId="0" applyBorder="1" applyAlignment="1">
      <alignment horizontal="left"/>
    </xf>
    <xf numFmtId="0" fontId="0" fillId="0" borderId="12" xfId="0" applyBorder="1" applyAlignment="1">
      <alignment horizontal="left"/>
    </xf>
    <xf numFmtId="0" fontId="0" fillId="0" borderId="0" xfId="0" applyBorder="1" applyAlignment="1"/>
    <xf numFmtId="0" fontId="0" fillId="0" borderId="0" xfId="0" applyFill="1" applyBorder="1" applyAlignment="1"/>
    <xf numFmtId="0" fontId="0" fillId="0" borderId="11" xfId="0" applyBorder="1"/>
    <xf numFmtId="0" fontId="0" fillId="0" borderId="12" xfId="0" applyFill="1" applyBorder="1" applyAlignment="1">
      <alignment horizontal="left"/>
    </xf>
    <xf numFmtId="0" fontId="0" fillId="0" borderId="0" xfId="0" applyFill="1" applyBorder="1"/>
    <xf numFmtId="0" fontId="0" fillId="0" borderId="8" xfId="0" applyFill="1" applyBorder="1" applyAlignment="1">
      <alignment horizontal="left"/>
    </xf>
    <xf numFmtId="0" fontId="0" fillId="0" borderId="9" xfId="0" applyBorder="1"/>
    <xf numFmtId="0" fontId="0" fillId="0" borderId="10" xfId="0" applyBorder="1"/>
    <xf numFmtId="0" fontId="3" fillId="0" borderId="0" xfId="0" applyFont="1" applyBorder="1" applyAlignment="1">
      <alignment wrapText="1"/>
    </xf>
    <xf numFmtId="0" fontId="30" fillId="0" borderId="0" xfId="0" applyFont="1"/>
    <xf numFmtId="0" fontId="31" fillId="0" borderId="0" xfId="0" applyFont="1"/>
    <xf numFmtId="0" fontId="3" fillId="0" borderId="9" xfId="0" applyFont="1" applyBorder="1"/>
    <xf numFmtId="0" fontId="3" fillId="0" borderId="0" xfId="0" applyFont="1" applyBorder="1"/>
    <xf numFmtId="0" fontId="3" fillId="8" borderId="10" xfId="0" applyFont="1" applyFill="1" applyBorder="1" applyAlignment="1">
      <alignment horizontal="left"/>
    </xf>
    <xf numFmtId="0" fontId="3" fillId="8" borderId="9" xfId="0" applyFont="1" applyFill="1" applyBorder="1"/>
    <xf numFmtId="0" fontId="32" fillId="9" borderId="10" xfId="0" applyFont="1" applyFill="1" applyBorder="1" applyAlignment="1">
      <alignment horizontal="left" vertical="center"/>
    </xf>
    <xf numFmtId="0" fontId="3" fillId="9" borderId="4" xfId="0" applyFont="1" applyFill="1" applyBorder="1" applyAlignment="1">
      <alignment wrapText="1"/>
    </xf>
    <xf numFmtId="0" fontId="32" fillId="9" borderId="11" xfId="0" applyFont="1" applyFill="1" applyBorder="1" applyAlignment="1">
      <alignment horizontal="left" vertical="center"/>
    </xf>
    <xf numFmtId="171" fontId="32" fillId="9" borderId="11" xfId="10" applyNumberFormat="1" applyFont="1" applyFill="1" applyBorder="1" applyAlignment="1">
      <alignment horizontal="left" vertical="center"/>
    </xf>
    <xf numFmtId="0" fontId="25" fillId="0" borderId="0" xfId="0" applyFont="1" applyFill="1" applyBorder="1" applyAlignment="1">
      <alignment horizontal="left" vertical="center"/>
    </xf>
    <xf numFmtId="0" fontId="32" fillId="0" borderId="0" xfId="0" applyFont="1"/>
    <xf numFmtId="0" fontId="32" fillId="0" borderId="0" xfId="0" applyFont="1" applyFill="1" applyBorder="1" applyAlignment="1">
      <alignment horizontal="left" vertical="center"/>
    </xf>
    <xf numFmtId="0" fontId="3" fillId="0" borderId="0" xfId="0" applyFont="1" applyFill="1" applyBorder="1" applyAlignment="1"/>
    <xf numFmtId="0" fontId="32" fillId="0" borderId="0" xfId="8" applyFont="1"/>
    <xf numFmtId="0" fontId="32" fillId="0" borderId="0" xfId="0" applyFont="1" applyFill="1" applyBorder="1" applyAlignment="1">
      <alignment horizontal="left" vertical="center" wrapText="1"/>
    </xf>
    <xf numFmtId="0" fontId="3" fillId="0" borderId="0" xfId="0" applyFont="1" applyFill="1" applyBorder="1"/>
    <xf numFmtId="0" fontId="34" fillId="0" borderId="0" xfId="0" applyFont="1" applyFill="1" applyBorder="1" applyAlignment="1">
      <alignment horizontal="left" vertical="center"/>
    </xf>
    <xf numFmtId="0" fontId="0" fillId="0" borderId="0" xfId="0" applyFont="1" applyFill="1" applyBorder="1" applyAlignment="1">
      <alignment wrapText="1"/>
    </xf>
    <xf numFmtId="0" fontId="25" fillId="0" borderId="0" xfId="0" applyFont="1" applyFill="1" applyBorder="1" applyAlignment="1">
      <alignment horizontal="right" vertical="center" wrapText="1"/>
    </xf>
    <xf numFmtId="0" fontId="34" fillId="0" borderId="0" xfId="0" applyFont="1" applyFill="1" applyBorder="1" applyAlignment="1">
      <alignment horizontal="left" vertical="center" wrapText="1"/>
    </xf>
    <xf numFmtId="0" fontId="0" fillId="0" borderId="0" xfId="0" applyFont="1" applyFill="1" applyBorder="1" applyAlignment="1"/>
    <xf numFmtId="0" fontId="32" fillId="10" borderId="0" xfId="0" applyFont="1" applyFill="1" applyAlignment="1">
      <alignment horizontal="left"/>
    </xf>
    <xf numFmtId="0" fontId="0" fillId="11" borderId="0" xfId="0" applyFill="1"/>
    <xf numFmtId="0" fontId="35" fillId="0" borderId="0" xfId="0" applyFont="1" applyAlignment="1">
      <alignment horizontal="left"/>
    </xf>
    <xf numFmtId="0" fontId="36" fillId="0" borderId="0" xfId="0" applyFont="1" applyAlignment="1">
      <alignment horizontal="left"/>
    </xf>
    <xf numFmtId="165" fontId="36" fillId="0" borderId="0" xfId="0" applyNumberFormat="1" applyFont="1" applyAlignment="1">
      <alignment horizontal="right"/>
    </xf>
    <xf numFmtId="0" fontId="36" fillId="0" borderId="0" xfId="0" applyFont="1"/>
    <xf numFmtId="0" fontId="37" fillId="0" borderId="0" xfId="0" applyFont="1" applyAlignment="1">
      <alignment horizontal="left"/>
    </xf>
    <xf numFmtId="0" fontId="37" fillId="0" borderId="0" xfId="0" applyFont="1" applyAlignment="1">
      <alignment horizontal="left" vertical="center" wrapText="1"/>
    </xf>
    <xf numFmtId="0" fontId="38" fillId="0" borderId="0" xfId="0" applyFont="1"/>
    <xf numFmtId="0" fontId="29" fillId="0" borderId="0" xfId="0" applyFont="1" applyAlignment="1">
      <alignment wrapText="1"/>
    </xf>
    <xf numFmtId="0" fontId="25" fillId="0" borderId="0" xfId="0" applyFont="1" applyAlignment="1">
      <alignment horizontal="left" vertical="center" wrapText="1"/>
    </xf>
    <xf numFmtId="0" fontId="36" fillId="0" borderId="0" xfId="0" quotePrefix="1" applyFont="1" applyAlignment="1"/>
    <xf numFmtId="0" fontId="39" fillId="0" borderId="0" xfId="0" applyFont="1"/>
    <xf numFmtId="0" fontId="29" fillId="0" borderId="0" xfId="0" applyFont="1" applyAlignment="1" applyProtection="1">
      <alignment horizontal="left"/>
      <protection locked="0"/>
    </xf>
    <xf numFmtId="0" fontId="29" fillId="0" borderId="0" xfId="0" applyFont="1" applyAlignment="1">
      <alignment horizontal="left"/>
    </xf>
    <xf numFmtId="0" fontId="29" fillId="0" borderId="0" xfId="0" applyFont="1"/>
    <xf numFmtId="0" fontId="40" fillId="0" borderId="0" xfId="2" applyFont="1"/>
    <xf numFmtId="0" fontId="12" fillId="0" borderId="0" xfId="2"/>
    <xf numFmtId="0" fontId="40" fillId="12" borderId="0" xfId="2" applyFont="1" applyFill="1"/>
    <xf numFmtId="0" fontId="40" fillId="0" borderId="0" xfId="2" applyFont="1" applyAlignment="1">
      <alignment horizontal="center"/>
    </xf>
    <xf numFmtId="0" fontId="40" fillId="0" borderId="0" xfId="2" applyFont="1" applyAlignment="1">
      <alignment horizontal="center" vertical="center"/>
    </xf>
    <xf numFmtId="0" fontId="41" fillId="12" borderId="0" xfId="2" applyFont="1" applyFill="1"/>
    <xf numFmtId="0" fontId="41" fillId="0" borderId="0" xfId="2" applyFont="1"/>
    <xf numFmtId="0" fontId="23" fillId="0" borderId="0" xfId="8" applyFont="1"/>
    <xf numFmtId="0" fontId="42" fillId="0" borderId="0" xfId="0" applyFont="1" applyFill="1" applyBorder="1" applyAlignment="1"/>
    <xf numFmtId="0" fontId="25" fillId="0" borderId="0" xfId="0" applyFont="1" applyAlignment="1"/>
    <xf numFmtId="0" fontId="25" fillId="0" borderId="0" xfId="0" applyFont="1" applyBorder="1" applyAlignment="1"/>
    <xf numFmtId="0" fontId="25" fillId="0" borderId="0" xfId="0" applyFont="1" applyBorder="1"/>
    <xf numFmtId="2" fontId="25" fillId="0" borderId="0" xfId="0" applyNumberFormat="1" applyFont="1" applyBorder="1"/>
    <xf numFmtId="2" fontId="25" fillId="0" borderId="0" xfId="0" applyNumberFormat="1" applyFont="1" applyFill="1" applyBorder="1"/>
    <xf numFmtId="0" fontId="0" fillId="0" borderId="0" xfId="0" applyBorder="1" applyAlignment="1">
      <alignment horizontal="left" vertical="top" wrapText="1"/>
    </xf>
    <xf numFmtId="0" fontId="25" fillId="0" borderId="0" xfId="0" applyFont="1"/>
    <xf numFmtId="0" fontId="21" fillId="7" borderId="22" xfId="0" applyFont="1" applyFill="1" applyBorder="1" applyAlignment="1">
      <alignment horizontal="left"/>
    </xf>
    <xf numFmtId="0" fontId="22" fillId="7" borderId="23" xfId="0" applyFont="1" applyFill="1" applyBorder="1"/>
    <xf numFmtId="0" fontId="0" fillId="0" borderId="23" xfId="0" applyBorder="1" applyAlignment="1">
      <alignment horizontal="left"/>
    </xf>
    <xf numFmtId="0" fontId="0" fillId="0" borderId="24" xfId="0" applyBorder="1"/>
    <xf numFmtId="0" fontId="0" fillId="0" borderId="23" xfId="0" applyBorder="1"/>
    <xf numFmtId="0" fontId="0" fillId="0" borderId="0" xfId="0" applyFill="1" applyBorder="1" applyAlignment="1">
      <alignment horizontal="left"/>
    </xf>
    <xf numFmtId="0" fontId="12" fillId="4" borderId="25" xfId="0" applyNumberFormat="1" applyFont="1" applyFill="1" applyBorder="1" applyAlignment="1"/>
    <xf numFmtId="168" fontId="12" fillId="0" borderId="25" xfId="0" applyNumberFormat="1" applyFont="1" applyFill="1" applyBorder="1" applyAlignment="1"/>
    <xf numFmtId="0" fontId="12" fillId="0" borderId="25" xfId="0" applyNumberFormat="1" applyFont="1" applyFill="1" applyBorder="1" applyAlignment="1"/>
    <xf numFmtId="0" fontId="0" fillId="0" borderId="0" xfId="0" applyFont="1" applyFill="1" applyBorder="1"/>
    <xf numFmtId="0" fontId="0" fillId="0" borderId="0" xfId="0" applyAlignment="1">
      <alignment horizontal="left" vertical="top" wrapText="1"/>
    </xf>
    <xf numFmtId="0" fontId="0" fillId="0" borderId="0" xfId="0" applyAlignment="1">
      <alignment wrapText="1"/>
    </xf>
    <xf numFmtId="10" fontId="0" fillId="0" borderId="0" xfId="0" applyNumberFormat="1" applyAlignment="1">
      <alignment wrapText="1"/>
    </xf>
    <xf numFmtId="0" fontId="0" fillId="0" borderId="0" xfId="0" applyFill="1" applyBorder="1" applyAlignment="1">
      <alignment wrapText="1"/>
    </xf>
    <xf numFmtId="0" fontId="18" fillId="13" borderId="0" xfId="7" applyFont="1" applyFill="1" applyAlignment="1">
      <alignment wrapText="1"/>
    </xf>
    <xf numFmtId="0" fontId="0" fillId="0" borderId="0" xfId="0"/>
    <xf numFmtId="0" fontId="9" fillId="14" borderId="0" xfId="0" applyFont="1" applyFill="1" applyAlignment="1">
      <alignment wrapText="1"/>
    </xf>
    <xf numFmtId="0" fontId="43" fillId="0" borderId="0" xfId="0" applyFont="1"/>
    <xf numFmtId="0" fontId="44" fillId="0" borderId="0" xfId="0" applyFont="1"/>
    <xf numFmtId="0" fontId="45" fillId="0" borderId="0" xfId="8" applyFont="1" applyAlignment="1" applyProtection="1"/>
    <xf numFmtId="0" fontId="0" fillId="0" borderId="0" xfId="0" applyFont="1" applyAlignment="1">
      <alignment horizontal="left" vertical="top" wrapText="1"/>
    </xf>
    <xf numFmtId="0" fontId="0" fillId="0" borderId="0" xfId="8" applyFont="1" applyAlignment="1" applyProtection="1">
      <alignment horizontal="left" vertical="top" wrapText="1"/>
    </xf>
    <xf numFmtId="0" fontId="44" fillId="0" borderId="0" xfId="0" applyFont="1" applyAlignment="1">
      <alignment horizontal="left" vertical="top" wrapText="1"/>
    </xf>
    <xf numFmtId="0" fontId="0" fillId="0" borderId="26" xfId="0" applyBorder="1"/>
    <xf numFmtId="0" fontId="1" fillId="0" borderId="0" xfId="0" applyFont="1" applyAlignment="1">
      <alignment horizontal="left" vertical="top" wrapText="1"/>
    </xf>
    <xf numFmtId="0" fontId="46" fillId="0" borderId="0" xfId="0" applyFont="1" applyAlignment="1">
      <alignment horizontal="left" vertical="top" wrapText="1"/>
    </xf>
    <xf numFmtId="0" fontId="2" fillId="0" borderId="0" xfId="8" applyFont="1" applyAlignment="1" applyProtection="1">
      <alignment horizontal="left" vertical="top" wrapText="1"/>
    </xf>
    <xf numFmtId="0" fontId="0" fillId="0" borderId="0" xfId="0"/>
    <xf numFmtId="167" fontId="12" fillId="0" borderId="0" xfId="0" applyNumberFormat="1" applyFont="1" applyFill="1" applyBorder="1" applyAlignment="1"/>
    <xf numFmtId="168" fontId="12" fillId="0" borderId="25" xfId="0" applyNumberFormat="1" applyFont="1" applyFill="1" applyBorder="1" applyAlignment="1"/>
    <xf numFmtId="0" fontId="0" fillId="0" borderId="0" xfId="0"/>
    <xf numFmtId="0" fontId="35" fillId="15" borderId="0" xfId="0" applyFont="1" applyFill="1" applyAlignment="1">
      <alignment horizontal="left"/>
    </xf>
    <xf numFmtId="165" fontId="36" fillId="0" borderId="0" xfId="0" applyNumberFormat="1" applyFont="1" applyAlignment="1">
      <alignment horizontal="right"/>
    </xf>
    <xf numFmtId="0" fontId="47" fillId="0" borderId="0" xfId="0" applyFont="1"/>
    <xf numFmtId="0" fontId="36" fillId="0" borderId="0" xfId="0" applyFont="1" applyAlignment="1">
      <alignment wrapText="1"/>
    </xf>
    <xf numFmtId="0" fontId="10" fillId="0" borderId="0" xfId="0" applyFont="1"/>
    <xf numFmtId="0" fontId="36" fillId="0" borderId="0" xfId="0" applyFont="1" applyAlignment="1" applyProtection="1">
      <alignment horizontal="left"/>
      <protection locked="0"/>
    </xf>
    <xf numFmtId="0" fontId="48" fillId="0" borderId="1" xfId="0" applyFont="1" applyBorder="1" applyAlignment="1">
      <alignment horizontal="left"/>
    </xf>
    <xf numFmtId="0" fontId="48" fillId="0" borderId="1" xfId="0" applyFont="1" applyBorder="1" applyAlignment="1">
      <alignment horizontal="right"/>
    </xf>
    <xf numFmtId="167" fontId="12" fillId="0" borderId="0" xfId="0" applyNumberFormat="1" applyFont="1" applyFill="1" applyBorder="1" applyAlignment="1"/>
    <xf numFmtId="168" fontId="12" fillId="0" borderId="27" xfId="0" applyNumberFormat="1" applyFont="1" applyFill="1" applyBorder="1" applyAlignment="1"/>
    <xf numFmtId="167" fontId="12" fillId="0" borderId="0" xfId="0" applyNumberFormat="1" applyFont="1" applyFill="1" applyBorder="1" applyAlignment="1"/>
    <xf numFmtId="168" fontId="12" fillId="0" borderId="27" xfId="0" applyNumberFormat="1" applyFont="1" applyFill="1" applyBorder="1" applyAlignment="1"/>
    <xf numFmtId="167" fontId="12" fillId="0" borderId="0" xfId="0" applyNumberFormat="1" applyFont="1" applyFill="1" applyBorder="1" applyAlignment="1"/>
    <xf numFmtId="3" fontId="12" fillId="0" borderId="27" xfId="0" applyNumberFormat="1" applyFont="1" applyFill="1" applyBorder="1" applyAlignment="1"/>
    <xf numFmtId="168" fontId="12" fillId="0" borderId="27" xfId="0" applyNumberFormat="1" applyFont="1" applyFill="1" applyBorder="1" applyAlignment="1"/>
    <xf numFmtId="167" fontId="12" fillId="0" borderId="0" xfId="0" applyNumberFormat="1" applyFont="1" applyFill="1" applyBorder="1" applyAlignment="1"/>
    <xf numFmtId="168" fontId="12" fillId="0" borderId="27" xfId="0" applyNumberFormat="1" applyFont="1" applyFill="1" applyBorder="1" applyAlignment="1"/>
    <xf numFmtId="0" fontId="9" fillId="0" borderId="0" xfId="0" applyFont="1" applyFill="1"/>
    <xf numFmtId="165" fontId="0" fillId="0" borderId="0" xfId="0" applyNumberFormat="1" applyFill="1"/>
    <xf numFmtId="165" fontId="0" fillId="0" borderId="0" xfId="0" applyNumberFormat="1" applyFill="1"/>
    <xf numFmtId="0" fontId="0" fillId="0" borderId="0" xfId="0" applyAlignment="1">
      <alignment wrapText="1"/>
    </xf>
    <xf numFmtId="0" fontId="0" fillId="0" borderId="0" xfId="0" applyBorder="1" applyAlignment="1">
      <alignment horizontal="left" vertical="top" wrapText="1"/>
    </xf>
    <xf numFmtId="0" fontId="0" fillId="0" borderId="0" xfId="0"/>
    <xf numFmtId="0" fontId="27" fillId="0" borderId="4" xfId="9" applyNumberFormat="1" applyFont="1" applyFill="1" applyBorder="1" applyAlignment="1">
      <alignment horizontal="center" wrapText="1"/>
    </xf>
    <xf numFmtId="0" fontId="35" fillId="0" borderId="9" xfId="9" applyNumberFormat="1" applyFont="1" applyFill="1" applyBorder="1" applyAlignment="1"/>
    <xf numFmtId="0" fontId="35" fillId="0" borderId="9" xfId="9" applyNumberFormat="1" applyFont="1" applyFill="1" applyBorder="1" applyAlignment="1">
      <alignment horizontal="center" wrapText="1"/>
    </xf>
    <xf numFmtId="0" fontId="37" fillId="0" borderId="0" xfId="0" applyNumberFormat="1" applyFont="1" applyFill="1" applyBorder="1" applyAlignment="1"/>
    <xf numFmtId="170" fontId="37" fillId="0" borderId="0" xfId="0" applyNumberFormat="1" applyFont="1" applyFill="1" applyBorder="1" applyAlignment="1">
      <alignment horizontal="center"/>
    </xf>
    <xf numFmtId="169" fontId="37" fillId="0" borderId="0" xfId="0" applyNumberFormat="1" applyFont="1" applyFill="1" applyBorder="1" applyAlignment="1">
      <alignment horizontal="center"/>
    </xf>
    <xf numFmtId="0" fontId="49" fillId="0" borderId="0" xfId="8" applyFont="1" applyAlignment="1">
      <alignment vertical="center"/>
    </xf>
    <xf numFmtId="0" fontId="35" fillId="0" borderId="0" xfId="9" applyNumberFormat="1" applyFont="1" applyFill="1" applyBorder="1" applyAlignment="1">
      <alignment horizontal="center" wrapText="1"/>
    </xf>
    <xf numFmtId="0" fontId="9" fillId="0" borderId="3" xfId="0" applyFont="1" applyBorder="1" applyAlignment="1">
      <alignment wrapText="1"/>
    </xf>
    <xf numFmtId="169" fontId="37" fillId="0" borderId="0" xfId="0" applyNumberFormat="1" applyFont="1" applyFill="1" applyBorder="1" applyAlignment="1">
      <alignment horizontal="center"/>
    </xf>
    <xf numFmtId="0" fontId="18" fillId="0" borderId="0" xfId="9" applyNumberFormat="1" applyFont="1" applyFill="1" applyBorder="1" applyAlignment="1">
      <alignment wrapText="1"/>
    </xf>
    <xf numFmtId="0" fontId="25" fillId="0" borderId="0" xfId="9" applyNumberFormat="1" applyFont="1" applyFill="1" applyBorder="1" applyAlignment="1">
      <alignment wrapText="1"/>
    </xf>
    <xf numFmtId="169" fontId="25" fillId="0" borderId="0" xfId="9" applyNumberFormat="1" applyFont="1" applyFill="1" applyBorder="1" applyAlignment="1">
      <alignment horizontal="center" wrapText="1"/>
    </xf>
    <xf numFmtId="0" fontId="0" fillId="0" borderId="0" xfId="0" applyBorder="1" applyAlignment="1">
      <alignment wrapText="1"/>
    </xf>
    <xf numFmtId="0" fontId="50" fillId="0" borderId="0" xfId="0" applyFont="1"/>
    <xf numFmtId="0" fontId="35" fillId="0" borderId="0" xfId="0" applyFont="1"/>
    <xf numFmtId="170" fontId="37" fillId="0" borderId="0" xfId="0" applyNumberFormat="1" applyFont="1" applyFill="1" applyBorder="1" applyAlignment="1">
      <alignment horizontal="center"/>
    </xf>
    <xf numFmtId="169" fontId="37" fillId="0" borderId="0" xfId="0" applyNumberFormat="1" applyFont="1" applyFill="1" applyBorder="1" applyAlignment="1">
      <alignment horizontal="center"/>
    </xf>
    <xf numFmtId="169" fontId="37" fillId="0" borderId="0" xfId="0" applyNumberFormat="1" applyFont="1" applyFill="1" applyBorder="1" applyAlignment="1">
      <alignment horizontal="center"/>
    </xf>
    <xf numFmtId="0" fontId="9" fillId="0" borderId="0" xfId="0" applyFont="1" applyBorder="1" applyAlignment="1">
      <alignment wrapText="1"/>
    </xf>
    <xf numFmtId="0" fontId="18" fillId="4" borderId="25" xfId="0" applyNumberFormat="1" applyFont="1" applyFill="1" applyBorder="1" applyAlignment="1"/>
    <xf numFmtId="0" fontId="18" fillId="14" borderId="0" xfId="7" applyFont="1" applyFill="1" applyAlignment="1">
      <alignment wrapText="1"/>
    </xf>
    <xf numFmtId="0" fontId="0" fillId="0" borderId="0" xfId="0" applyAlignment="1">
      <alignment wrapText="1"/>
    </xf>
    <xf numFmtId="0" fontId="0" fillId="0" borderId="0" xfId="0"/>
    <xf numFmtId="0" fontId="12" fillId="0" borderId="0" xfId="2" applyFill="1" applyBorder="1"/>
    <xf numFmtId="0" fontId="53" fillId="0" borderId="0" xfId="2" applyFont="1" applyFill="1" applyBorder="1"/>
    <xf numFmtId="0" fontId="9" fillId="6" borderId="0" xfId="0" applyFont="1" applyFill="1" applyAlignment="1">
      <alignment horizontal="center" vertical="center"/>
    </xf>
    <xf numFmtId="168" fontId="12" fillId="0" borderId="0" xfId="0" applyNumberFormat="1" applyFont="1" applyFill="1" applyBorder="1" applyAlignment="1"/>
    <xf numFmtId="0" fontId="25" fillId="6" borderId="0" xfId="0" applyFont="1" applyFill="1" applyBorder="1" applyAlignment="1">
      <alignment horizontal="left" vertical="center"/>
    </xf>
    <xf numFmtId="0" fontId="9" fillId="0" borderId="0" xfId="0" applyFont="1" applyAlignment="1">
      <alignment wrapText="1"/>
    </xf>
    <xf numFmtId="0" fontId="0" fillId="0" borderId="0" xfId="0" applyAlignment="1">
      <alignment wrapText="1"/>
    </xf>
    <xf numFmtId="0" fontId="23" fillId="0" borderId="0" xfId="8"/>
    <xf numFmtId="0" fontId="0" fillId="0" borderId="0" xfId="0"/>
    <xf numFmtId="0" fontId="9" fillId="0" borderId="0" xfId="0" applyFont="1" applyAlignment="1">
      <alignment horizontal="left" vertical="top" wrapText="1"/>
    </xf>
    <xf numFmtId="0" fontId="0" fillId="0" borderId="0" xfId="0"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12" xfId="0" applyBorder="1" applyAlignment="1">
      <alignment horizontal="left" vertical="top" wrapText="1"/>
    </xf>
    <xf numFmtId="0" fontId="0" fillId="0" borderId="0" xfId="0" applyBorder="1" applyAlignment="1">
      <alignment horizontal="left" vertical="top" wrapText="1"/>
    </xf>
    <xf numFmtId="0" fontId="0" fillId="0" borderId="11"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4"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46" fillId="0" borderId="0" xfId="0" applyFont="1" applyAlignment="1">
      <alignment horizontal="left" vertical="top" wrapText="1"/>
    </xf>
    <xf numFmtId="0" fontId="44" fillId="0" borderId="0" xfId="0" applyFont="1" applyAlignment="1">
      <alignment wrapText="1"/>
    </xf>
    <xf numFmtId="0" fontId="17" fillId="0" borderId="0" xfId="0" applyFont="1" applyAlignment="1">
      <alignment horizontal="center" vertical="center" wrapText="1"/>
    </xf>
    <xf numFmtId="0" fontId="3" fillId="0" borderId="0" xfId="0" applyFont="1" applyAlignment="1">
      <alignment horizontal="center" vertical="center" wrapText="1"/>
    </xf>
    <xf numFmtId="0" fontId="28" fillId="0" borderId="9" xfId="9" applyNumberFormat="1" applyFont="1" applyFill="1" applyBorder="1" applyAlignment="1">
      <alignment horizontal="center" wrapText="1"/>
    </xf>
    <xf numFmtId="0" fontId="28" fillId="0" borderId="9" xfId="0" applyNumberFormat="1" applyFont="1" applyFill="1" applyBorder="1" applyAlignment="1">
      <alignment horizontal="center" wrapText="1"/>
    </xf>
    <xf numFmtId="0" fontId="27" fillId="0" borderId="4" xfId="9" applyNumberFormat="1" applyFont="1" applyFill="1" applyBorder="1" applyAlignment="1">
      <alignment horizontal="center" wrapText="1"/>
    </xf>
    <xf numFmtId="0" fontId="0" fillId="0" borderId="4" xfId="0" applyNumberFormat="1" applyFont="1" applyFill="1" applyBorder="1" applyAlignment="1">
      <alignment wrapText="1"/>
    </xf>
    <xf numFmtId="0" fontId="3" fillId="0" borderId="0" xfId="0" applyFont="1" applyAlignment="1">
      <alignment wrapText="1"/>
    </xf>
    <xf numFmtId="0" fontId="0" fillId="0" borderId="0" xfId="0" applyFont="1" applyAlignment="1">
      <alignment wrapText="1"/>
    </xf>
    <xf numFmtId="0" fontId="23" fillId="0" borderId="0" xfId="8" applyAlignment="1">
      <alignment wrapText="1"/>
    </xf>
    <xf numFmtId="0" fontId="0" fillId="0" borderId="0" xfId="0" applyAlignment="1">
      <alignment horizontal="center" vertical="center" wrapText="1"/>
    </xf>
    <xf numFmtId="0" fontId="9" fillId="0" borderId="22" xfId="0" applyFont="1" applyBorder="1" applyAlignment="1">
      <alignment horizontal="left" vertical="top" wrapText="1"/>
    </xf>
    <xf numFmtId="0" fontId="9" fillId="0" borderId="23" xfId="0" applyFont="1" applyBorder="1" applyAlignment="1">
      <alignment horizontal="left" vertical="top" wrapText="1"/>
    </xf>
    <xf numFmtId="0" fontId="9" fillId="0" borderId="24" xfId="0" applyFont="1" applyBorder="1" applyAlignment="1">
      <alignment horizontal="left" vertical="top" wrapText="1"/>
    </xf>
    <xf numFmtId="0" fontId="9" fillId="0" borderId="12" xfId="0" applyFont="1" applyBorder="1" applyAlignment="1">
      <alignment horizontal="left" vertical="top" wrapText="1"/>
    </xf>
    <xf numFmtId="0" fontId="9" fillId="0" borderId="0" xfId="0" applyFont="1" applyBorder="1" applyAlignment="1">
      <alignment horizontal="left" vertical="top" wrapText="1"/>
    </xf>
    <xf numFmtId="0" fontId="9" fillId="0" borderId="11"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1" fillId="0" borderId="2" xfId="4" applyFont="1" applyFill="1" applyBorder="1" applyAlignment="1">
      <alignment horizontal="center"/>
    </xf>
    <xf numFmtId="0" fontId="11" fillId="0" borderId="3" xfId="4" applyFont="1" applyFill="1" applyBorder="1" applyAlignment="1">
      <alignment horizontal="center"/>
    </xf>
    <xf numFmtId="0" fontId="11" fillId="0" borderId="5" xfId="4" applyFont="1" applyFill="1" applyBorder="1" applyAlignment="1">
      <alignment horizontal="center" vertical="center" wrapText="1"/>
    </xf>
    <xf numFmtId="0" fontId="11" fillId="0" borderId="7" xfId="4" applyFont="1" applyFill="1" applyBorder="1" applyAlignment="1">
      <alignment horizontal="center" vertical="center" wrapText="1"/>
    </xf>
    <xf numFmtId="0" fontId="11" fillId="0" borderId="8" xfId="4" applyFont="1" applyFill="1" applyBorder="1" applyAlignment="1">
      <alignment horizontal="center" vertical="center" wrapText="1"/>
    </xf>
    <xf numFmtId="0" fontId="11" fillId="0" borderId="10" xfId="4" applyFont="1" applyFill="1" applyBorder="1" applyAlignment="1">
      <alignment horizontal="center" vertical="center" wrapText="1"/>
    </xf>
    <xf numFmtId="0" fontId="9" fillId="0" borderId="0" xfId="0" applyFont="1" applyAlignment="1">
      <alignment horizontal="center" vertical="center" wrapText="1"/>
    </xf>
    <xf numFmtId="0" fontId="11" fillId="0" borderId="6" xfId="4" applyFont="1" applyFill="1" applyBorder="1" applyAlignment="1">
      <alignment horizontal="center" vertical="center" wrapText="1"/>
    </xf>
    <xf numFmtId="0" fontId="11" fillId="0" borderId="9" xfId="4" applyFont="1" applyFill="1" applyBorder="1" applyAlignment="1">
      <alignment horizontal="center" vertical="center" wrapText="1"/>
    </xf>
    <xf numFmtId="165" fontId="15" fillId="0" borderId="2" xfId="4" applyNumberFormat="1" applyFont="1" applyFill="1" applyBorder="1" applyAlignment="1">
      <alignment horizontal="center"/>
    </xf>
    <xf numFmtId="165" fontId="15" fillId="0" borderId="3" xfId="4" applyNumberFormat="1" applyFont="1" applyFill="1" applyBorder="1" applyAlignment="1">
      <alignment horizontal="center"/>
    </xf>
    <xf numFmtId="165" fontId="15" fillId="0" borderId="1" xfId="4" applyNumberFormat="1" applyFont="1" applyFill="1" applyBorder="1" applyAlignment="1">
      <alignment horizontal="center"/>
    </xf>
    <xf numFmtId="0" fontId="12" fillId="0" borderId="22" xfId="2" applyBorder="1" applyAlignment="1">
      <alignment horizontal="left" vertical="top" wrapText="1"/>
    </xf>
    <xf numFmtId="0" fontId="12" fillId="0" borderId="23" xfId="2" applyBorder="1" applyAlignment="1">
      <alignment horizontal="left" vertical="top" wrapText="1"/>
    </xf>
    <xf numFmtId="0" fontId="12" fillId="0" borderId="24" xfId="2" applyBorder="1" applyAlignment="1">
      <alignment horizontal="left" vertical="top" wrapText="1"/>
    </xf>
    <xf numFmtId="0" fontId="12" fillId="0" borderId="12" xfId="2" applyBorder="1" applyAlignment="1">
      <alignment horizontal="left" vertical="top" wrapText="1"/>
    </xf>
    <xf numFmtId="0" fontId="12" fillId="0" borderId="0" xfId="2" applyBorder="1" applyAlignment="1">
      <alignment horizontal="left" vertical="top" wrapText="1"/>
    </xf>
    <xf numFmtId="0" fontId="12" fillId="0" borderId="11" xfId="2" applyBorder="1" applyAlignment="1">
      <alignment horizontal="left" vertical="top" wrapText="1"/>
    </xf>
    <xf numFmtId="0" fontId="12" fillId="0" borderId="8" xfId="2" applyBorder="1" applyAlignment="1">
      <alignment horizontal="left" vertical="top" wrapText="1"/>
    </xf>
    <xf numFmtId="0" fontId="12" fillId="0" borderId="9" xfId="2" applyBorder="1" applyAlignment="1">
      <alignment horizontal="left" vertical="top" wrapText="1"/>
    </xf>
    <xf numFmtId="0" fontId="12" fillId="0" borderId="10" xfId="2" applyBorder="1" applyAlignment="1">
      <alignment horizontal="left" vertical="top" wrapText="1"/>
    </xf>
    <xf numFmtId="0" fontId="19" fillId="0" borderId="0" xfId="0" applyFont="1" applyAlignment="1">
      <alignment horizontal="center"/>
    </xf>
    <xf numFmtId="0" fontId="36" fillId="0" borderId="0" xfId="0" applyFont="1" applyAlignment="1"/>
    <xf numFmtId="0" fontId="10" fillId="0" borderId="0" xfId="0" applyFont="1" applyAlignment="1">
      <alignment horizontal="center"/>
    </xf>
    <xf numFmtId="0" fontId="11" fillId="0" borderId="4" xfId="1" applyFont="1" applyFill="1" applyBorder="1" applyAlignment="1">
      <alignment horizontal="center" vertical="center"/>
    </xf>
    <xf numFmtId="0" fontId="11" fillId="0" borderId="3" xfId="1" applyFont="1" applyFill="1" applyBorder="1" applyAlignment="1">
      <alignment horizontal="center" vertical="center"/>
    </xf>
    <xf numFmtId="0" fontId="11" fillId="0" borderId="2" xfId="1" applyFont="1" applyFill="1" applyBorder="1" applyAlignment="1">
      <alignment horizontal="center" vertical="center" wrapText="1"/>
    </xf>
    <xf numFmtId="0" fontId="11" fillId="0" borderId="4" xfId="1" applyFont="1" applyFill="1" applyBorder="1" applyAlignment="1">
      <alignment horizontal="center" vertical="center" wrapText="1"/>
    </xf>
    <xf numFmtId="0" fontId="11" fillId="0" borderId="3" xfId="2" applyFont="1" applyFill="1" applyBorder="1" applyAlignment="1">
      <alignment horizontal="center" vertical="center" wrapText="1"/>
    </xf>
    <xf numFmtId="0" fontId="12" fillId="0" borderId="0" xfId="0" applyFont="1"/>
    <xf numFmtId="0" fontId="18" fillId="0" borderId="0" xfId="0" applyFont="1"/>
    <xf numFmtId="0" fontId="54" fillId="0" borderId="0" xfId="0" applyFont="1"/>
    <xf numFmtId="0" fontId="55" fillId="0" borderId="0" xfId="0" applyFont="1"/>
    <xf numFmtId="0" fontId="56" fillId="0" borderId="0" xfId="0" applyFont="1"/>
    <xf numFmtId="0" fontId="57" fillId="0" borderId="0" xfId="0" applyFont="1"/>
    <xf numFmtId="0" fontId="58" fillId="0" borderId="0" xfId="0" applyFont="1"/>
    <xf numFmtId="0" fontId="59" fillId="0" borderId="0" xfId="0" applyFont="1"/>
    <xf numFmtId="0" fontId="11" fillId="0" borderId="10" xfId="0" applyFont="1" applyBorder="1" applyAlignment="1">
      <alignment horizontal="center" vertical="center" wrapText="1"/>
    </xf>
    <xf numFmtId="1" fontId="11" fillId="0" borderId="10" xfId="0" applyNumberFormat="1" applyFont="1" applyBorder="1" applyAlignment="1">
      <alignment horizontal="center"/>
    </xf>
    <xf numFmtId="0" fontId="11" fillId="0" borderId="0" xfId="0" applyFont="1"/>
    <xf numFmtId="166" fontId="55" fillId="0" borderId="0" xfId="0" applyNumberFormat="1" applyFont="1" applyAlignment="1">
      <alignment horizontal="right"/>
    </xf>
    <xf numFmtId="1" fontId="55" fillId="0" borderId="0" xfId="0" applyNumberFormat="1" applyFont="1" applyAlignment="1">
      <alignment horizontal="right"/>
    </xf>
    <xf numFmtId="1" fontId="11" fillId="0" borderId="0" xfId="0" applyNumberFormat="1" applyFont="1"/>
    <xf numFmtId="166" fontId="11" fillId="0" borderId="0" xfId="0" applyNumberFormat="1" applyFont="1"/>
    <xf numFmtId="0" fontId="55" fillId="0" borderId="0" xfId="0" applyFont="1" applyAlignment="1">
      <alignment horizontal="right"/>
    </xf>
    <xf numFmtId="0" fontId="11" fillId="0" borderId="0" xfId="0" applyFont="1" applyAlignment="1">
      <alignment horizontal="right"/>
    </xf>
    <xf numFmtId="1" fontId="11" fillId="0" borderId="0" xfId="0" applyNumberFormat="1" applyFont="1" applyAlignment="1">
      <alignment horizontal="right"/>
    </xf>
    <xf numFmtId="0" fontId="11" fillId="0" borderId="0" xfId="0" applyFont="1" applyAlignment="1">
      <alignment horizontal="left"/>
    </xf>
    <xf numFmtId="0" fontId="15" fillId="0" borderId="0" xfId="0" applyFont="1"/>
    <xf numFmtId="0" fontId="60" fillId="0" borderId="0" xfId="0" applyFont="1"/>
    <xf numFmtId="1" fontId="60" fillId="0" borderId="0" xfId="0" applyNumberFormat="1" applyFont="1" applyAlignment="1">
      <alignment horizontal="right"/>
    </xf>
    <xf numFmtId="1" fontId="55" fillId="0" borderId="0" xfId="0" applyNumberFormat="1" applyFont="1"/>
    <xf numFmtId="1" fontId="11" fillId="0" borderId="0" xfId="0" applyNumberFormat="1" applyFont="1" applyAlignment="1">
      <alignment horizontal="left" indent="1"/>
    </xf>
    <xf numFmtId="166" fontId="55" fillId="0" borderId="0" xfId="0" applyNumberFormat="1" applyFont="1" applyAlignment="1">
      <alignment horizontal="center"/>
    </xf>
    <xf numFmtId="1" fontId="61" fillId="0" borderId="0" xfId="0" applyNumberFormat="1" applyFont="1"/>
    <xf numFmtId="0" fontId="62" fillId="0" borderId="0" xfId="0" applyFont="1"/>
    <xf numFmtId="0" fontId="63" fillId="0" borderId="0" xfId="0" applyFont="1"/>
    <xf numFmtId="0" fontId="55" fillId="0" borderId="0" xfId="0" applyFont="1" applyAlignment="1">
      <alignment vertical="center"/>
    </xf>
    <xf numFmtId="0" fontId="11" fillId="0" borderId="28" xfId="0" applyFont="1" applyBorder="1" applyAlignment="1">
      <alignment horizontal="center" vertical="center" wrapText="1"/>
    </xf>
    <xf numFmtId="0" fontId="11" fillId="0" borderId="29" xfId="0" applyFont="1" applyBorder="1" applyAlignment="1">
      <alignment horizontal="center" vertical="center" wrapText="1"/>
    </xf>
    <xf numFmtId="0" fontId="11" fillId="0" borderId="30" xfId="0" applyFont="1" applyBorder="1" applyAlignment="1">
      <alignment horizontal="center" vertical="center" wrapText="1"/>
    </xf>
    <xf numFmtId="1" fontId="55" fillId="0" borderId="2" xfId="0" applyNumberFormat="1" applyFont="1" applyBorder="1" applyAlignment="1">
      <alignment horizontal="center" wrapText="1"/>
    </xf>
    <xf numFmtId="1" fontId="55" fillId="0" borderId="3" xfId="0" applyNumberFormat="1" applyFont="1" applyBorder="1" applyAlignment="1">
      <alignment horizontal="center" wrapText="1"/>
    </xf>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32"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2" xfId="0" applyFont="1" applyBorder="1" applyAlignment="1">
      <alignment horizontal="center" wrapText="1"/>
    </xf>
    <xf numFmtId="0" fontId="11" fillId="0" borderId="3" xfId="0" applyFont="1" applyBorder="1" applyAlignment="1">
      <alignment horizontal="center" wrapText="1"/>
    </xf>
    <xf numFmtId="0" fontId="11" fillId="0" borderId="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4" xfId="0" applyFont="1" applyBorder="1" applyAlignment="1">
      <alignment horizontal="center"/>
    </xf>
    <xf numFmtId="0" fontId="11" fillId="0" borderId="34" xfId="0" applyFont="1" applyBorder="1" applyAlignment="1">
      <alignment horizontal="center"/>
    </xf>
    <xf numFmtId="0" fontId="11" fillId="0" borderId="31" xfId="0" applyFont="1" applyBorder="1" applyAlignment="1">
      <alignment horizontal="center"/>
    </xf>
    <xf numFmtId="165" fontId="11" fillId="0" borderId="34" xfId="0" applyNumberFormat="1" applyFont="1" applyBorder="1" applyAlignment="1">
      <alignment horizontal="center"/>
    </xf>
    <xf numFmtId="165" fontId="11" fillId="0" borderId="31" xfId="0" applyNumberFormat="1" applyFont="1" applyBorder="1" applyAlignment="1">
      <alignment horizontal="center"/>
    </xf>
    <xf numFmtId="165" fontId="11" fillId="0" borderId="3" xfId="0" applyNumberFormat="1" applyFont="1" applyBorder="1" applyAlignment="1">
      <alignment horizontal="center"/>
    </xf>
    <xf numFmtId="165" fontId="11" fillId="0" borderId="2" xfId="0" applyNumberFormat="1" applyFont="1" applyBorder="1" applyAlignment="1">
      <alignment horizontal="center"/>
    </xf>
    <xf numFmtId="0" fontId="11" fillId="0" borderId="0" xfId="0" applyFont="1" applyAlignment="1">
      <alignment vertical="top" wrapText="1"/>
    </xf>
  </cellXfs>
  <cellStyles count="11">
    <cellStyle name="Bold" xfId="7"/>
    <cellStyle name="Comma 2" xfId="5"/>
    <cellStyle name="Hyperlink" xfId="8" builtinId="8"/>
    <cellStyle name="Neutral" xfId="3"/>
    <cellStyle name="Normal" xfId="0" builtinId="0"/>
    <cellStyle name="Normal 2" xfId="2"/>
    <cellStyle name="Normal 2 2" xfId="9"/>
    <cellStyle name="Normal 3" xfId="4"/>
    <cellStyle name="Normal 4" xfId="6"/>
    <cellStyle name="Normal_Annex Table 3" xfId="10"/>
    <cellStyle name="Normal_review SOWC_HIVAIDS_Database_06 Aug 2008" xfId="1"/>
  </cellStyles>
  <dxfs count="8">
    <dxf>
      <fill>
        <patternFill>
          <bgColor theme="8" tint="0.39994506668294322"/>
        </patternFill>
      </fill>
    </dxf>
    <dxf>
      <fill>
        <patternFill>
          <fgColor rgb="FFFFA3A3"/>
          <bgColor rgb="FFFF9999"/>
        </patternFill>
      </fill>
    </dxf>
    <dxf>
      <fill>
        <patternFill>
          <bgColor theme="9" tint="0.79998168889431442"/>
        </patternFill>
      </fill>
    </dxf>
    <dxf>
      <fill>
        <patternFill>
          <bgColor theme="8" tint="0.79998168889431442"/>
        </patternFill>
      </fill>
    </dxf>
    <dxf>
      <fill>
        <patternFill>
          <bgColor theme="8" tint="0.39994506668294322"/>
        </patternFill>
      </fill>
    </dxf>
    <dxf>
      <fill>
        <patternFill>
          <fgColor rgb="FFFFA3A3"/>
          <bgColor rgb="FFFF9999"/>
        </patternFill>
      </fill>
    </dxf>
    <dxf>
      <fill>
        <patternFill>
          <bgColor theme="9" tint="0.79998168889431442"/>
        </patternFill>
      </fill>
    </dxf>
    <dxf>
      <fill>
        <patternFill>
          <bgColor theme="8" tint="0.79998168889431442"/>
        </patternFill>
      </fill>
    </dxf>
  </dxfs>
  <tableStyles count="0" defaultTableStyle="TableStyleMedium2"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63" Type="http://schemas.openxmlformats.org/officeDocument/2006/relationships/externalLink" Target="externalLinks/externalLink16.xml"/><Relationship Id="rId64" Type="http://schemas.openxmlformats.org/officeDocument/2006/relationships/externalLink" Target="externalLinks/externalLink17.xml"/><Relationship Id="rId65" Type="http://schemas.openxmlformats.org/officeDocument/2006/relationships/externalLink" Target="externalLinks/externalLink18.xml"/><Relationship Id="rId66" Type="http://schemas.openxmlformats.org/officeDocument/2006/relationships/theme" Target="theme/theme1.xml"/><Relationship Id="rId67" Type="http://schemas.openxmlformats.org/officeDocument/2006/relationships/styles" Target="styles.xml"/><Relationship Id="rId68" Type="http://schemas.openxmlformats.org/officeDocument/2006/relationships/sharedStrings" Target="sharedStrings.xml"/><Relationship Id="rId69" Type="http://schemas.openxmlformats.org/officeDocument/2006/relationships/calcChain" Target="calcChain.xml"/><Relationship Id="rId50" Type="http://schemas.openxmlformats.org/officeDocument/2006/relationships/externalLink" Target="externalLinks/externalLink3.xml"/><Relationship Id="rId51" Type="http://schemas.openxmlformats.org/officeDocument/2006/relationships/externalLink" Target="externalLinks/externalLink4.xml"/><Relationship Id="rId52" Type="http://schemas.openxmlformats.org/officeDocument/2006/relationships/externalLink" Target="externalLinks/externalLink5.xml"/><Relationship Id="rId53" Type="http://schemas.openxmlformats.org/officeDocument/2006/relationships/externalLink" Target="externalLinks/externalLink6.xml"/><Relationship Id="rId54" Type="http://schemas.openxmlformats.org/officeDocument/2006/relationships/externalLink" Target="externalLinks/externalLink7.xml"/><Relationship Id="rId55" Type="http://schemas.openxmlformats.org/officeDocument/2006/relationships/externalLink" Target="externalLinks/externalLink8.xml"/><Relationship Id="rId56" Type="http://schemas.openxmlformats.org/officeDocument/2006/relationships/externalLink" Target="externalLinks/externalLink9.xml"/><Relationship Id="rId57" Type="http://schemas.openxmlformats.org/officeDocument/2006/relationships/externalLink" Target="externalLinks/externalLink10.xml"/><Relationship Id="rId58" Type="http://schemas.openxmlformats.org/officeDocument/2006/relationships/externalLink" Target="externalLinks/externalLink11.xml"/><Relationship Id="rId59" Type="http://schemas.openxmlformats.org/officeDocument/2006/relationships/externalLink" Target="externalLinks/externalLink12.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externalLink" Target="externalLinks/externalLink1.xml"/><Relationship Id="rId49" Type="http://schemas.openxmlformats.org/officeDocument/2006/relationships/externalLink" Target="externalLinks/externalLink2.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60" Type="http://schemas.openxmlformats.org/officeDocument/2006/relationships/externalLink" Target="externalLinks/externalLink13.xml"/><Relationship Id="rId61" Type="http://schemas.openxmlformats.org/officeDocument/2006/relationships/externalLink" Target="externalLinks/externalLink14.xml"/><Relationship Id="rId62" Type="http://schemas.openxmlformats.org/officeDocument/2006/relationships/externalLink" Target="externalLinks/externalLink15.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bar"/>
        <c:grouping val="clustered"/>
        <c:varyColors val="0"/>
        <c:ser>
          <c:idx val="0"/>
          <c:order val="0"/>
          <c:tx>
            <c:v>LE 2000</c:v>
          </c:tx>
          <c:invertIfNegative val="0"/>
          <c:cat>
            <c:strRef>
              <c:f>'Figure 1'!$A$3:$A$55</c:f>
              <c:strCache>
                <c:ptCount val="53"/>
                <c:pt idx="0">
                  <c:v>Russian Federation</c:v>
                </c:pt>
                <c:pt idx="1">
                  <c:v>Belarus</c:v>
                </c:pt>
                <c:pt idx="2">
                  <c:v>Estonia</c:v>
                </c:pt>
                <c:pt idx="3">
                  <c:v>Kazakhstan</c:v>
                </c:pt>
                <c:pt idx="4">
                  <c:v>Latvia</c:v>
                </c:pt>
                <c:pt idx="5">
                  <c:v>Lithuania</c:v>
                </c:pt>
                <c:pt idx="6">
                  <c:v>Ukraine</c:v>
                </c:pt>
                <c:pt idx="7">
                  <c:v>Hungary</c:v>
                </c:pt>
                <c:pt idx="8">
                  <c:v>Slovakia</c:v>
                </c:pt>
                <c:pt idx="9">
                  <c:v>Georgia</c:v>
                </c:pt>
                <c:pt idx="10">
                  <c:v>Monaco</c:v>
                </c:pt>
                <c:pt idx="11">
                  <c:v>Poland</c:v>
                </c:pt>
                <c:pt idx="12">
                  <c:v>Romania</c:v>
                </c:pt>
                <c:pt idx="13">
                  <c:v>Andorra</c:v>
                </c:pt>
                <c:pt idx="14">
                  <c:v>Armenia</c:v>
                </c:pt>
                <c:pt idx="15">
                  <c:v>Belgium</c:v>
                </c:pt>
                <c:pt idx="16">
                  <c:v>Bulgaria</c:v>
                </c:pt>
                <c:pt idx="17">
                  <c:v>Croatia</c:v>
                </c:pt>
                <c:pt idx="18">
                  <c:v>Czech Republic</c:v>
                </c:pt>
                <c:pt idx="19">
                  <c:v>Finland</c:v>
                </c:pt>
                <c:pt idx="20">
                  <c:v>France</c:v>
                </c:pt>
                <c:pt idx="21">
                  <c:v>Kyrgyzstan</c:v>
                </c:pt>
                <c:pt idx="22">
                  <c:v>Portugal</c:v>
                </c:pt>
                <c:pt idx="23">
                  <c:v>Republic of Moldova</c:v>
                </c:pt>
                <c:pt idx="24">
                  <c:v>San Marino</c:v>
                </c:pt>
                <c:pt idx="25">
                  <c:v>Slovenia</c:v>
                </c:pt>
                <c:pt idx="26">
                  <c:v>Spain</c:v>
                </c:pt>
                <c:pt idx="27">
                  <c:v>Turkey</c:v>
                </c:pt>
                <c:pt idx="28">
                  <c:v>Turkmenistan</c:v>
                </c:pt>
                <c:pt idx="29">
                  <c:v>Albania</c:v>
                </c:pt>
                <c:pt idx="30">
                  <c:v>Austria</c:v>
                </c:pt>
                <c:pt idx="31">
                  <c:v>Azerbaijan</c:v>
                </c:pt>
                <c:pt idx="32">
                  <c:v>Bosnia and Herzegovina</c:v>
                </c:pt>
                <c:pt idx="33">
                  <c:v>Denmark</c:v>
                </c:pt>
                <c:pt idx="34">
                  <c:v>Germany</c:v>
                </c:pt>
                <c:pt idx="35">
                  <c:v>Ireland</c:v>
                </c:pt>
                <c:pt idx="36">
                  <c:v>Italy</c:v>
                </c:pt>
                <c:pt idx="37">
                  <c:v>Luxembourg</c:v>
                </c:pt>
                <c:pt idx="38">
                  <c:v>Norway</c:v>
                </c:pt>
                <c:pt idx="39">
                  <c:v>Serbia</c:v>
                </c:pt>
                <c:pt idx="40">
                  <c:v>Switzerland</c:v>
                </c:pt>
                <c:pt idx="41">
                  <c:v>Uzbekistan</c:v>
                </c:pt>
                <c:pt idx="42">
                  <c:v>Greece</c:v>
                </c:pt>
                <c:pt idx="43">
                  <c:v>Iceland</c:v>
                </c:pt>
                <c:pt idx="44">
                  <c:v>Israel</c:v>
                </c:pt>
                <c:pt idx="45">
                  <c:v>Malta</c:v>
                </c:pt>
                <c:pt idx="46">
                  <c:v>Montenegro</c:v>
                </c:pt>
                <c:pt idx="47">
                  <c:v>Netherlands</c:v>
                </c:pt>
                <c:pt idx="48">
                  <c:v>Sweden</c:v>
                </c:pt>
                <c:pt idx="49">
                  <c:v>MKDa</c:v>
                </c:pt>
                <c:pt idx="50">
                  <c:v>United Kingdom</c:v>
                </c:pt>
                <c:pt idx="51">
                  <c:v>Cyprus</c:v>
                </c:pt>
                <c:pt idx="52">
                  <c:v>Tajikistan</c:v>
                </c:pt>
              </c:strCache>
            </c:strRef>
          </c:cat>
          <c:val>
            <c:numRef>
              <c:f>'Figure 1'!$B$3:$B$55</c:f>
              <c:numCache>
                <c:formatCode>General</c:formatCode>
                <c:ptCount val="53"/>
                <c:pt idx="0">
                  <c:v>72.0</c:v>
                </c:pt>
                <c:pt idx="1">
                  <c:v>75.0</c:v>
                </c:pt>
                <c:pt idx="2">
                  <c:v>76.0</c:v>
                </c:pt>
                <c:pt idx="3">
                  <c:v>68.0</c:v>
                </c:pt>
                <c:pt idx="4">
                  <c:v>76.0</c:v>
                </c:pt>
                <c:pt idx="5">
                  <c:v>78.0</c:v>
                </c:pt>
                <c:pt idx="6">
                  <c:v>73.0</c:v>
                </c:pt>
                <c:pt idx="7">
                  <c:v>76.0</c:v>
                </c:pt>
                <c:pt idx="8">
                  <c:v>77.0</c:v>
                </c:pt>
                <c:pt idx="9">
                  <c:v>76.0</c:v>
                </c:pt>
                <c:pt idx="10">
                  <c:v>84.0</c:v>
                </c:pt>
                <c:pt idx="11">
                  <c:v>78.0</c:v>
                </c:pt>
                <c:pt idx="12">
                  <c:v>75.0</c:v>
                </c:pt>
                <c:pt idx="13">
                  <c:v>83.0</c:v>
                </c:pt>
                <c:pt idx="14">
                  <c:v>74.0</c:v>
                </c:pt>
                <c:pt idx="15">
                  <c:v>81.0</c:v>
                </c:pt>
                <c:pt idx="16">
                  <c:v>75.0</c:v>
                </c:pt>
                <c:pt idx="17">
                  <c:v>78.0</c:v>
                </c:pt>
                <c:pt idx="18">
                  <c:v>78.0</c:v>
                </c:pt>
                <c:pt idx="19">
                  <c:v>81.0</c:v>
                </c:pt>
                <c:pt idx="20">
                  <c:v>83.0</c:v>
                </c:pt>
                <c:pt idx="21">
                  <c:v>69.0</c:v>
                </c:pt>
                <c:pt idx="22">
                  <c:v>80.0</c:v>
                </c:pt>
                <c:pt idx="23">
                  <c:v>71.0</c:v>
                </c:pt>
                <c:pt idx="24">
                  <c:v>85.0</c:v>
                </c:pt>
                <c:pt idx="25">
                  <c:v>80.0</c:v>
                </c:pt>
                <c:pt idx="26">
                  <c:v>83.0</c:v>
                </c:pt>
                <c:pt idx="27">
                  <c:v>74.0</c:v>
                </c:pt>
                <c:pt idx="28">
                  <c:v>65.0</c:v>
                </c:pt>
                <c:pt idx="29">
                  <c:v>73.0</c:v>
                </c:pt>
                <c:pt idx="30">
                  <c:v>81.0</c:v>
                </c:pt>
                <c:pt idx="31">
                  <c:v>69.0</c:v>
                </c:pt>
                <c:pt idx="32">
                  <c:v>78.0</c:v>
                </c:pt>
                <c:pt idx="33">
                  <c:v>79.0</c:v>
                </c:pt>
                <c:pt idx="34">
                  <c:v>81.0</c:v>
                </c:pt>
                <c:pt idx="35">
                  <c:v>79.0</c:v>
                </c:pt>
                <c:pt idx="36">
                  <c:v>83.0</c:v>
                </c:pt>
                <c:pt idx="37">
                  <c:v>81.0</c:v>
                </c:pt>
                <c:pt idx="38">
                  <c:v>82.0</c:v>
                </c:pt>
                <c:pt idx="39">
                  <c:v>75.0</c:v>
                </c:pt>
                <c:pt idx="40">
                  <c:v>83.0</c:v>
                </c:pt>
                <c:pt idx="41">
                  <c:v>69.0</c:v>
                </c:pt>
                <c:pt idx="42">
                  <c:v>81.0</c:v>
                </c:pt>
                <c:pt idx="43">
                  <c:v>82.0</c:v>
                </c:pt>
                <c:pt idx="44">
                  <c:v>81.0</c:v>
                </c:pt>
                <c:pt idx="45">
                  <c:v>80.0</c:v>
                </c:pt>
                <c:pt idx="46">
                  <c:v>77.0</c:v>
                </c:pt>
                <c:pt idx="47">
                  <c:v>81.0</c:v>
                </c:pt>
                <c:pt idx="48">
                  <c:v>82.0</c:v>
                </c:pt>
                <c:pt idx="49">
                  <c:v>76.0</c:v>
                </c:pt>
                <c:pt idx="50">
                  <c:v>80.0</c:v>
                </c:pt>
                <c:pt idx="51">
                  <c:v>79.0</c:v>
                </c:pt>
                <c:pt idx="52">
                  <c:v>65.0</c:v>
                </c:pt>
              </c:numCache>
            </c:numRef>
          </c:val>
        </c:ser>
        <c:ser>
          <c:idx val="1"/>
          <c:order val="1"/>
          <c:tx>
            <c:v>LE 2012</c:v>
          </c:tx>
          <c:invertIfNegative val="0"/>
          <c:cat>
            <c:strRef>
              <c:f>'Figure 1'!$A$3:$A$55</c:f>
              <c:strCache>
                <c:ptCount val="53"/>
                <c:pt idx="0">
                  <c:v>Russian Federation</c:v>
                </c:pt>
                <c:pt idx="1">
                  <c:v>Belarus</c:v>
                </c:pt>
                <c:pt idx="2">
                  <c:v>Estonia</c:v>
                </c:pt>
                <c:pt idx="3">
                  <c:v>Kazakhstan</c:v>
                </c:pt>
                <c:pt idx="4">
                  <c:v>Latvia</c:v>
                </c:pt>
                <c:pt idx="5">
                  <c:v>Lithuania</c:v>
                </c:pt>
                <c:pt idx="6">
                  <c:v>Ukraine</c:v>
                </c:pt>
                <c:pt idx="7">
                  <c:v>Hungary</c:v>
                </c:pt>
                <c:pt idx="8">
                  <c:v>Slovakia</c:v>
                </c:pt>
                <c:pt idx="9">
                  <c:v>Georgia</c:v>
                </c:pt>
                <c:pt idx="10">
                  <c:v>Monaco</c:v>
                </c:pt>
                <c:pt idx="11">
                  <c:v>Poland</c:v>
                </c:pt>
                <c:pt idx="12">
                  <c:v>Romania</c:v>
                </c:pt>
                <c:pt idx="13">
                  <c:v>Andorra</c:v>
                </c:pt>
                <c:pt idx="14">
                  <c:v>Armenia</c:v>
                </c:pt>
                <c:pt idx="15">
                  <c:v>Belgium</c:v>
                </c:pt>
                <c:pt idx="16">
                  <c:v>Bulgaria</c:v>
                </c:pt>
                <c:pt idx="17">
                  <c:v>Croatia</c:v>
                </c:pt>
                <c:pt idx="18">
                  <c:v>Czech Republic</c:v>
                </c:pt>
                <c:pt idx="19">
                  <c:v>Finland</c:v>
                </c:pt>
                <c:pt idx="20">
                  <c:v>France</c:v>
                </c:pt>
                <c:pt idx="21">
                  <c:v>Kyrgyzstan</c:v>
                </c:pt>
                <c:pt idx="22">
                  <c:v>Portugal</c:v>
                </c:pt>
                <c:pt idx="23">
                  <c:v>Republic of Moldova</c:v>
                </c:pt>
                <c:pt idx="24">
                  <c:v>San Marino</c:v>
                </c:pt>
                <c:pt idx="25">
                  <c:v>Slovenia</c:v>
                </c:pt>
                <c:pt idx="26">
                  <c:v>Spain</c:v>
                </c:pt>
                <c:pt idx="27">
                  <c:v>Turkey</c:v>
                </c:pt>
                <c:pt idx="28">
                  <c:v>Turkmenistan</c:v>
                </c:pt>
                <c:pt idx="29">
                  <c:v>Albania</c:v>
                </c:pt>
                <c:pt idx="30">
                  <c:v>Austria</c:v>
                </c:pt>
                <c:pt idx="31">
                  <c:v>Azerbaijan</c:v>
                </c:pt>
                <c:pt idx="32">
                  <c:v>Bosnia and Herzegovina</c:v>
                </c:pt>
                <c:pt idx="33">
                  <c:v>Denmark</c:v>
                </c:pt>
                <c:pt idx="34">
                  <c:v>Germany</c:v>
                </c:pt>
                <c:pt idx="35">
                  <c:v>Ireland</c:v>
                </c:pt>
                <c:pt idx="36">
                  <c:v>Italy</c:v>
                </c:pt>
                <c:pt idx="37">
                  <c:v>Luxembourg</c:v>
                </c:pt>
                <c:pt idx="38">
                  <c:v>Norway</c:v>
                </c:pt>
                <c:pt idx="39">
                  <c:v>Serbia</c:v>
                </c:pt>
                <c:pt idx="40">
                  <c:v>Switzerland</c:v>
                </c:pt>
                <c:pt idx="41">
                  <c:v>Uzbekistan</c:v>
                </c:pt>
                <c:pt idx="42">
                  <c:v>Greece</c:v>
                </c:pt>
                <c:pt idx="43">
                  <c:v>Iceland</c:v>
                </c:pt>
                <c:pt idx="44">
                  <c:v>Israel</c:v>
                </c:pt>
                <c:pt idx="45">
                  <c:v>Malta</c:v>
                </c:pt>
                <c:pt idx="46">
                  <c:v>Montenegro</c:v>
                </c:pt>
                <c:pt idx="47">
                  <c:v>Netherlands</c:v>
                </c:pt>
                <c:pt idx="48">
                  <c:v>Sweden</c:v>
                </c:pt>
                <c:pt idx="49">
                  <c:v>MKDa</c:v>
                </c:pt>
                <c:pt idx="50">
                  <c:v>United Kingdom</c:v>
                </c:pt>
                <c:pt idx="51">
                  <c:v>Cyprus</c:v>
                </c:pt>
                <c:pt idx="52">
                  <c:v>Tajikistan</c:v>
                </c:pt>
              </c:strCache>
            </c:strRef>
          </c:cat>
          <c:val>
            <c:numRef>
              <c:f>'Figure 1'!$C$3:$C$55</c:f>
              <c:numCache>
                <c:formatCode>General</c:formatCode>
                <c:ptCount val="53"/>
                <c:pt idx="0">
                  <c:v>75.0</c:v>
                </c:pt>
                <c:pt idx="1">
                  <c:v>78.0</c:v>
                </c:pt>
                <c:pt idx="2">
                  <c:v>81.0</c:v>
                </c:pt>
                <c:pt idx="3">
                  <c:v>72.0</c:v>
                </c:pt>
                <c:pt idx="4">
                  <c:v>79.0</c:v>
                </c:pt>
                <c:pt idx="5">
                  <c:v>80.0</c:v>
                </c:pt>
                <c:pt idx="6">
                  <c:v>76.0</c:v>
                </c:pt>
                <c:pt idx="7">
                  <c:v>79.0</c:v>
                </c:pt>
                <c:pt idx="8">
                  <c:v>80.0</c:v>
                </c:pt>
                <c:pt idx="9">
                  <c:v>78.0</c:v>
                </c:pt>
                <c:pt idx="10">
                  <c:v>86.0</c:v>
                </c:pt>
                <c:pt idx="11">
                  <c:v>81.0</c:v>
                </c:pt>
                <c:pt idx="12">
                  <c:v>78.0</c:v>
                </c:pt>
                <c:pt idx="13">
                  <c:v>86.0</c:v>
                </c:pt>
                <c:pt idx="14">
                  <c:v>75.0</c:v>
                </c:pt>
                <c:pt idx="15">
                  <c:v>83.0</c:v>
                </c:pt>
                <c:pt idx="16">
                  <c:v>78.0</c:v>
                </c:pt>
                <c:pt idx="17">
                  <c:v>81.0</c:v>
                </c:pt>
                <c:pt idx="18">
                  <c:v>81.0</c:v>
                </c:pt>
                <c:pt idx="19">
                  <c:v>84.0</c:v>
                </c:pt>
                <c:pt idx="20">
                  <c:v>85.0</c:v>
                </c:pt>
                <c:pt idx="21">
                  <c:v>73.0</c:v>
                </c:pt>
                <c:pt idx="22">
                  <c:v>84.0</c:v>
                </c:pt>
                <c:pt idx="23">
                  <c:v>75.0</c:v>
                </c:pt>
                <c:pt idx="24">
                  <c:v>84.0</c:v>
                </c:pt>
                <c:pt idx="25">
                  <c:v>83.0</c:v>
                </c:pt>
                <c:pt idx="26">
                  <c:v>85.0</c:v>
                </c:pt>
                <c:pt idx="27">
                  <c:v>78.0</c:v>
                </c:pt>
                <c:pt idx="28">
                  <c:v>67.0</c:v>
                </c:pt>
                <c:pt idx="29">
                  <c:v>75.0</c:v>
                </c:pt>
                <c:pt idx="30">
                  <c:v>75.0</c:v>
                </c:pt>
                <c:pt idx="31">
                  <c:v>83.0</c:v>
                </c:pt>
                <c:pt idx="32">
                  <c:v>80.0</c:v>
                </c:pt>
                <c:pt idx="33">
                  <c:v>82.0</c:v>
                </c:pt>
                <c:pt idx="34">
                  <c:v>83.0</c:v>
                </c:pt>
                <c:pt idx="35">
                  <c:v>83.0</c:v>
                </c:pt>
                <c:pt idx="36">
                  <c:v>85.0</c:v>
                </c:pt>
                <c:pt idx="37">
                  <c:v>84.0</c:v>
                </c:pt>
                <c:pt idx="38">
                  <c:v>84.0</c:v>
                </c:pt>
                <c:pt idx="39">
                  <c:v>77.0</c:v>
                </c:pt>
                <c:pt idx="40">
                  <c:v>85.0</c:v>
                </c:pt>
                <c:pt idx="41">
                  <c:v>72.0</c:v>
                </c:pt>
                <c:pt idx="42">
                  <c:v>83.0</c:v>
                </c:pt>
                <c:pt idx="43">
                  <c:v>84.0</c:v>
                </c:pt>
                <c:pt idx="44">
                  <c:v>84.0</c:v>
                </c:pt>
                <c:pt idx="45">
                  <c:v>83.0</c:v>
                </c:pt>
                <c:pt idx="46">
                  <c:v>78.0</c:v>
                </c:pt>
                <c:pt idx="47">
                  <c:v>83.0</c:v>
                </c:pt>
                <c:pt idx="48">
                  <c:v>84.0</c:v>
                </c:pt>
                <c:pt idx="49">
                  <c:v>78.0</c:v>
                </c:pt>
                <c:pt idx="50">
                  <c:v>83.0</c:v>
                </c:pt>
                <c:pt idx="51">
                  <c:v>84.0</c:v>
                </c:pt>
                <c:pt idx="52">
                  <c:v>69.0</c:v>
                </c:pt>
              </c:numCache>
            </c:numRef>
          </c:val>
        </c:ser>
        <c:dLbls>
          <c:showLegendKey val="0"/>
          <c:showVal val="0"/>
          <c:showCatName val="0"/>
          <c:showSerName val="0"/>
          <c:showPercent val="0"/>
          <c:showBubbleSize val="0"/>
        </c:dLbls>
        <c:gapWidth val="150"/>
        <c:axId val="2078576544"/>
        <c:axId val="2076209536"/>
      </c:barChart>
      <c:catAx>
        <c:axId val="2078576544"/>
        <c:scaling>
          <c:orientation val="minMax"/>
        </c:scaling>
        <c:delete val="0"/>
        <c:axPos val="l"/>
        <c:numFmt formatCode="General" sourceLinked="0"/>
        <c:majorTickMark val="out"/>
        <c:minorTickMark val="none"/>
        <c:tickLblPos val="nextTo"/>
        <c:crossAx val="2076209536"/>
        <c:crosses val="autoZero"/>
        <c:auto val="1"/>
        <c:lblAlgn val="ctr"/>
        <c:lblOffset val="100"/>
        <c:noMultiLvlLbl val="0"/>
      </c:catAx>
      <c:valAx>
        <c:axId val="2076209536"/>
        <c:scaling>
          <c:orientation val="minMax"/>
        </c:scaling>
        <c:delete val="0"/>
        <c:axPos val="b"/>
        <c:majorGridlines/>
        <c:numFmt formatCode="General" sourceLinked="1"/>
        <c:majorTickMark val="out"/>
        <c:minorTickMark val="none"/>
        <c:tickLblPos val="nextTo"/>
        <c:crossAx val="2078576544"/>
        <c:crosses val="autoZero"/>
        <c:crossBetween val="between"/>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barChart>
        <c:barDir val="bar"/>
        <c:grouping val="stacked"/>
        <c:varyColors val="0"/>
        <c:ser>
          <c:idx val="0"/>
          <c:order val="0"/>
          <c:tx>
            <c:strRef>
              <c:f>[1]Figure2!$E$5</c:f>
              <c:strCache>
                <c:ptCount val="1"/>
                <c:pt idx="0">
                  <c:v>#REF!</c:v>
                </c:pt>
              </c:strCache>
            </c:strRef>
          </c:tx>
          <c:invertIfNegative val="0"/>
          <c:cat>
            <c:numRef>
              <c:f>[1]Figure2!$D$6:$D$58</c:f>
              <c:numCache>
                <c:formatCode>General</c:formatCode>
                <c:ptCount val="53"/>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numCache>
            </c:numRef>
          </c:cat>
          <c:val>
            <c:numRef>
              <c:f>[1]Figure2!$E$6:$E$58</c:f>
              <c:numCache>
                <c:formatCode>General</c:formatCode>
                <c:ptCount val="53"/>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numCache>
            </c:numRef>
          </c:val>
        </c:ser>
        <c:ser>
          <c:idx val="1"/>
          <c:order val="1"/>
          <c:tx>
            <c:strRef>
              <c:f>[1]Figure2!$F$5</c:f>
              <c:strCache>
                <c:ptCount val="1"/>
                <c:pt idx="0">
                  <c:v>#REF!</c:v>
                </c:pt>
              </c:strCache>
            </c:strRef>
          </c:tx>
          <c:invertIfNegative val="0"/>
          <c:cat>
            <c:numRef>
              <c:f>[1]Figure2!$D$6:$D$58</c:f>
              <c:numCache>
                <c:formatCode>General</c:formatCode>
                <c:ptCount val="53"/>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numCache>
            </c:numRef>
          </c:cat>
          <c:val>
            <c:numRef>
              <c:f>[1]Figure2!$F$6:$F$58</c:f>
              <c:numCache>
                <c:formatCode>General</c:formatCode>
                <c:ptCount val="53"/>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numCache>
            </c:numRef>
          </c:val>
        </c:ser>
        <c:dLbls>
          <c:showLegendKey val="0"/>
          <c:showVal val="0"/>
          <c:showCatName val="0"/>
          <c:showSerName val="0"/>
          <c:showPercent val="0"/>
          <c:showBubbleSize val="0"/>
        </c:dLbls>
        <c:gapWidth val="150"/>
        <c:overlap val="100"/>
        <c:axId val="2079443920"/>
        <c:axId val="2079447264"/>
      </c:barChart>
      <c:catAx>
        <c:axId val="2079443920"/>
        <c:scaling>
          <c:orientation val="minMax"/>
        </c:scaling>
        <c:delete val="0"/>
        <c:axPos val="l"/>
        <c:numFmt formatCode="General" sourceLinked="0"/>
        <c:majorTickMark val="out"/>
        <c:minorTickMark val="none"/>
        <c:tickLblPos val="nextTo"/>
        <c:txPr>
          <a:bodyPr/>
          <a:lstStyle/>
          <a:p>
            <a:pPr>
              <a:defRPr lang="da-DK"/>
            </a:pPr>
            <a:endParaRPr lang="en-US"/>
          </a:p>
        </c:txPr>
        <c:crossAx val="2079447264"/>
        <c:crosses val="autoZero"/>
        <c:auto val="1"/>
        <c:lblAlgn val="ctr"/>
        <c:lblOffset val="100"/>
        <c:noMultiLvlLbl val="0"/>
      </c:catAx>
      <c:valAx>
        <c:axId val="2079447264"/>
        <c:scaling>
          <c:orientation val="minMax"/>
          <c:max val="90.0"/>
          <c:min val="0.0"/>
        </c:scaling>
        <c:delete val="0"/>
        <c:axPos val="b"/>
        <c:majorGridlines/>
        <c:numFmt formatCode="General" sourceLinked="1"/>
        <c:majorTickMark val="out"/>
        <c:minorTickMark val="none"/>
        <c:tickLblPos val="nextTo"/>
        <c:txPr>
          <a:bodyPr/>
          <a:lstStyle/>
          <a:p>
            <a:pPr>
              <a:defRPr lang="da-DK"/>
            </a:pPr>
            <a:endParaRPr lang="en-US"/>
          </a:p>
        </c:txPr>
        <c:crossAx val="2079443920"/>
        <c:crosses val="autoZero"/>
        <c:crossBetween val="between"/>
      </c:valAx>
    </c:plotArea>
    <c:legend>
      <c:legendPos val="r"/>
      <c:layout/>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scatterChart>
        <c:scatterStyle val="lineMarker"/>
        <c:varyColors val="0"/>
        <c:ser>
          <c:idx val="0"/>
          <c:order val="0"/>
          <c:tx>
            <c:v>European Region countries</c:v>
          </c:tx>
          <c:spPr>
            <a:ln w="28575">
              <a:noFill/>
            </a:ln>
          </c:spPr>
          <c:marker>
            <c:spPr>
              <a:solidFill>
                <a:srgbClr val="00CC00"/>
              </a:solidFill>
            </c:spPr>
          </c:marker>
          <c:dLbls>
            <c:dLbl>
              <c:idx val="0"/>
              <c:layout/>
              <c:tx>
                <c:rich>
                  <a:bodyPr/>
                  <a:lstStyle/>
                  <a:p>
                    <a:r>
                      <a:rPr lang="en-US" sz="900"/>
                      <a:t>Tajikistan</a:t>
                    </a:r>
                  </a:p>
                </c:rich>
              </c:tx>
              <c:showLegendKey val="0"/>
              <c:showVal val="1"/>
              <c:showCatName val="0"/>
              <c:showSerName val="0"/>
              <c:showPercent val="0"/>
              <c:showBubbleSize val="0"/>
              <c:extLst>
                <c:ext xmlns:c15="http://schemas.microsoft.com/office/drawing/2012/chart" uri="{CE6537A1-D6FC-4f65-9D91-7224C49458BB}">
                  <c15:layout/>
                </c:ext>
              </c:extLst>
            </c:dLbl>
            <c:dLbl>
              <c:idx val="1"/>
              <c:layout/>
              <c:tx>
                <c:rich>
                  <a:bodyPr/>
                  <a:lstStyle/>
                  <a:p>
                    <a:r>
                      <a:rPr lang="en-US" sz="900"/>
                      <a:t>Kyrgyzstan</a:t>
                    </a:r>
                  </a:p>
                </c:rich>
              </c:tx>
              <c:showLegendKey val="0"/>
              <c:showVal val="1"/>
              <c:showCatName val="0"/>
              <c:showSerName val="0"/>
              <c:showPercent val="0"/>
              <c:showBubbleSize val="0"/>
              <c:extLst>
                <c:ext xmlns:c15="http://schemas.microsoft.com/office/drawing/2012/chart" uri="{CE6537A1-D6FC-4f65-9D91-7224C49458BB}">
                  <c15:layout/>
                </c:ext>
              </c:extLst>
            </c:dLbl>
            <c:dLbl>
              <c:idx val="2"/>
              <c:layout/>
              <c:tx>
                <c:rich>
                  <a:bodyPr/>
                  <a:lstStyle/>
                  <a:p>
                    <a:r>
                      <a:rPr lang="en-US" sz="900"/>
                      <a:t>Moldova (Republic of)</a:t>
                    </a:r>
                  </a:p>
                </c:rich>
              </c:tx>
              <c:showLegendKey val="0"/>
              <c:showVal val="1"/>
              <c:showCatName val="0"/>
              <c:showSerName val="0"/>
              <c:showPercent val="0"/>
              <c:showBubbleSize val="0"/>
              <c:extLst>
                <c:ext xmlns:c15="http://schemas.microsoft.com/office/drawing/2012/chart" uri="{CE6537A1-D6FC-4f65-9D91-7224C49458BB}">
                  <c15:layout/>
                </c:ext>
              </c:extLst>
            </c:dLbl>
            <c:dLbl>
              <c:idx val="3"/>
              <c:layout/>
              <c:tx>
                <c:rich>
                  <a:bodyPr/>
                  <a:lstStyle/>
                  <a:p>
                    <a:r>
                      <a:rPr lang="en-US" sz="900"/>
                      <a:t>Uzbekistan</a:t>
                    </a:r>
                  </a:p>
                </c:rich>
              </c:tx>
              <c:showLegendKey val="0"/>
              <c:showVal val="1"/>
              <c:showCatName val="0"/>
              <c:showSerName val="0"/>
              <c:showPercent val="0"/>
              <c:showBubbleSize val="0"/>
              <c:extLst>
                <c:ext xmlns:c15="http://schemas.microsoft.com/office/drawing/2012/chart" uri="{CE6537A1-D6FC-4f65-9D91-7224C49458BB}">
                  <c15:layout/>
                </c:ext>
              </c:extLst>
            </c:dLbl>
            <c:dLbl>
              <c:idx val="4"/>
              <c:layout/>
              <c:tx>
                <c:rich>
                  <a:bodyPr/>
                  <a:lstStyle/>
                  <a:p>
                    <a:r>
                      <a:rPr lang="en-US" sz="900"/>
                      <a:t>Georgia</a:t>
                    </a:r>
                  </a:p>
                </c:rich>
              </c:tx>
              <c:showLegendKey val="0"/>
              <c:showVal val="1"/>
              <c:showCatName val="0"/>
              <c:showSerName val="0"/>
              <c:showPercent val="0"/>
              <c:showBubbleSize val="0"/>
              <c:extLst>
                <c:ext xmlns:c15="http://schemas.microsoft.com/office/drawing/2012/chart" uri="{CE6537A1-D6FC-4f65-9D91-7224C49458BB}">
                  <c15:layout/>
                </c:ext>
              </c:extLst>
            </c:dLbl>
            <c:dLbl>
              <c:idx val="5"/>
              <c:layout/>
              <c:tx>
                <c:rich>
                  <a:bodyPr/>
                  <a:lstStyle/>
                  <a:p>
                    <a:r>
                      <a:rPr lang="en-US" sz="900"/>
                      <a:t>Armenia</a:t>
                    </a:r>
                  </a:p>
                </c:rich>
              </c:tx>
              <c:showLegendKey val="0"/>
              <c:showVal val="1"/>
              <c:showCatName val="0"/>
              <c:showSerName val="0"/>
              <c:showPercent val="0"/>
              <c:showBubbleSize val="0"/>
              <c:extLst>
                <c:ext xmlns:c15="http://schemas.microsoft.com/office/drawing/2012/chart" uri="{CE6537A1-D6FC-4f65-9D91-7224C49458BB}">
                  <c15:layout/>
                </c:ext>
              </c:extLst>
            </c:dLbl>
            <c:dLbl>
              <c:idx val="6"/>
              <c:layout/>
              <c:tx>
                <c:rich>
                  <a:bodyPr/>
                  <a:lstStyle/>
                  <a:p>
                    <a:r>
                      <a:rPr lang="en-US" sz="900"/>
                      <a:t>Ukraine</a:t>
                    </a:r>
                  </a:p>
                </c:rich>
              </c:tx>
              <c:showLegendKey val="0"/>
              <c:showVal val="1"/>
              <c:showCatName val="0"/>
              <c:showSerName val="0"/>
              <c:showPercent val="0"/>
              <c:showBubbleSize val="0"/>
              <c:extLst>
                <c:ext xmlns:c15="http://schemas.microsoft.com/office/drawing/2012/chart" uri="{CE6537A1-D6FC-4f65-9D91-7224C49458BB}">
                  <c15:layout/>
                </c:ext>
              </c:extLst>
            </c:dLbl>
            <c:dLbl>
              <c:idx val="7"/>
              <c:layout/>
              <c:tx>
                <c:rich>
                  <a:bodyPr/>
                  <a:lstStyle/>
                  <a:p>
                    <a:r>
                      <a:rPr lang="en-US" sz="900"/>
                      <a:t>Bosnia and Herzegovina</a:t>
                    </a:r>
                  </a:p>
                </c:rich>
              </c:tx>
              <c:showLegendKey val="0"/>
              <c:showVal val="1"/>
              <c:showCatName val="0"/>
              <c:showSerName val="0"/>
              <c:showPercent val="0"/>
              <c:showBubbleSize val="0"/>
              <c:extLst>
                <c:ext xmlns:c15="http://schemas.microsoft.com/office/drawing/2012/chart" uri="{CE6537A1-D6FC-4f65-9D91-7224C49458BB}">
                  <c15:layout/>
                </c:ext>
              </c:extLst>
            </c:dLbl>
            <c:dLbl>
              <c:idx val="8"/>
              <c:layout/>
              <c:tx>
                <c:rich>
                  <a:bodyPr/>
                  <a:lstStyle/>
                  <a:p>
                    <a:r>
                      <a:rPr lang="en-US" sz="900"/>
                      <a:t>Albania</a:t>
                    </a:r>
                  </a:p>
                </c:rich>
              </c:tx>
              <c:showLegendKey val="0"/>
              <c:showVal val="1"/>
              <c:showCatName val="0"/>
              <c:showSerName val="0"/>
              <c:showPercent val="0"/>
              <c:showBubbleSize val="0"/>
              <c:extLst>
                <c:ext xmlns:c15="http://schemas.microsoft.com/office/drawing/2012/chart" uri="{CE6537A1-D6FC-4f65-9D91-7224C49458BB}">
                  <c15:layout/>
                </c:ext>
              </c:extLst>
            </c:dLbl>
            <c:dLbl>
              <c:idx val="9"/>
              <c:layout/>
              <c:tx>
                <c:rich>
                  <a:bodyPr/>
                  <a:lstStyle/>
                  <a:p>
                    <a:r>
                      <a:rPr lang="en-US" sz="900"/>
                      <a:t>MKD</a:t>
                    </a:r>
                  </a:p>
                </c:rich>
              </c:tx>
              <c:showLegendKey val="0"/>
              <c:showVal val="1"/>
              <c:showCatName val="0"/>
              <c:showSerName val="0"/>
              <c:showPercent val="0"/>
              <c:showBubbleSize val="0"/>
              <c:extLst>
                <c:ext xmlns:c15="http://schemas.microsoft.com/office/drawing/2012/chart" uri="{CE6537A1-D6FC-4f65-9D91-7224C49458BB}">
                  <c15:layout/>
                </c:ext>
              </c:extLst>
            </c:dLbl>
            <c:dLbl>
              <c:idx val="10"/>
              <c:layout/>
              <c:tx>
                <c:rich>
                  <a:bodyPr/>
                  <a:lstStyle/>
                  <a:p>
                    <a:r>
                      <a:rPr lang="en-US" sz="900"/>
                      <a:t>Turkmenistan</a:t>
                    </a:r>
                  </a:p>
                </c:rich>
              </c:tx>
              <c:showLegendKey val="0"/>
              <c:showVal val="1"/>
              <c:showCatName val="0"/>
              <c:showSerName val="0"/>
              <c:showPercent val="0"/>
              <c:showBubbleSize val="0"/>
              <c:extLst>
                <c:ext xmlns:c15="http://schemas.microsoft.com/office/drawing/2012/chart" uri="{CE6537A1-D6FC-4f65-9D91-7224C49458BB}">
                  <c15:layout/>
                </c:ext>
              </c:extLst>
            </c:dLbl>
            <c:dLbl>
              <c:idx val="11"/>
              <c:layout/>
              <c:tx>
                <c:rich>
                  <a:bodyPr/>
                  <a:lstStyle/>
                  <a:p>
                    <a:r>
                      <a:rPr lang="en-US" sz="900"/>
                      <a:t>Bulgaria</a:t>
                    </a:r>
                  </a:p>
                </c:rich>
              </c:tx>
              <c:showLegendKey val="0"/>
              <c:showVal val="1"/>
              <c:showCatName val="0"/>
              <c:showSerName val="0"/>
              <c:showPercent val="0"/>
              <c:showBubbleSize val="0"/>
              <c:extLst>
                <c:ext xmlns:c15="http://schemas.microsoft.com/office/drawing/2012/chart" uri="{CE6537A1-D6FC-4f65-9D91-7224C49458BB}">
                  <c15:layout/>
                </c:ext>
              </c:extLst>
            </c:dLbl>
            <c:dLbl>
              <c:idx val="12"/>
              <c:layout/>
              <c:tx>
                <c:rich>
                  <a:bodyPr/>
                  <a:lstStyle/>
                  <a:p>
                    <a:r>
                      <a:rPr lang="en-US" sz="900"/>
                      <a:t>Azerbaijan</a:t>
                    </a:r>
                  </a:p>
                </c:rich>
              </c:tx>
              <c:showLegendKey val="0"/>
              <c:showVal val="1"/>
              <c:showCatName val="0"/>
              <c:showSerName val="0"/>
              <c:showPercent val="0"/>
              <c:showBubbleSize val="0"/>
              <c:extLst>
                <c:ext xmlns:c15="http://schemas.microsoft.com/office/drawing/2012/chart" uri="{CE6537A1-D6FC-4f65-9D91-7224C49458BB}">
                  <c15:layout/>
                </c:ext>
              </c:extLst>
            </c:dLbl>
            <c:dLbl>
              <c:idx val="13"/>
              <c:layout/>
              <c:tx>
                <c:rich>
                  <a:bodyPr/>
                  <a:lstStyle/>
                  <a:p>
                    <a:r>
                      <a:rPr lang="en-US" sz="900"/>
                      <a:t>Belarus</a:t>
                    </a:r>
                  </a:p>
                </c:rich>
              </c:tx>
              <c:showLegendKey val="0"/>
              <c:showVal val="1"/>
              <c:showCatName val="0"/>
              <c:showSerName val="0"/>
              <c:showPercent val="0"/>
              <c:showBubbleSize val="0"/>
              <c:extLst>
                <c:ext xmlns:c15="http://schemas.microsoft.com/office/drawing/2012/chart" uri="{CE6537A1-D6FC-4f65-9D91-7224C49458BB}">
                  <c15:layout/>
                </c:ext>
              </c:extLst>
            </c:dLbl>
            <c:dLbl>
              <c:idx val="14"/>
              <c:layout/>
              <c:tx>
                <c:rich>
                  <a:bodyPr/>
                  <a:lstStyle/>
                  <a:p>
                    <a:r>
                      <a:rPr lang="en-US" sz="900"/>
                      <a:t>Romania</a:t>
                    </a:r>
                  </a:p>
                </c:rich>
              </c:tx>
              <c:showLegendKey val="0"/>
              <c:showVal val="1"/>
              <c:showCatName val="0"/>
              <c:showSerName val="0"/>
              <c:showPercent val="0"/>
              <c:showBubbleSize val="0"/>
              <c:extLst>
                <c:ext xmlns:c15="http://schemas.microsoft.com/office/drawing/2012/chart" uri="{CE6537A1-D6FC-4f65-9D91-7224C49458BB}">
                  <c15:layout/>
                </c:ext>
              </c:extLst>
            </c:dLbl>
            <c:dLbl>
              <c:idx val="15"/>
              <c:layout/>
              <c:tx>
                <c:rich>
                  <a:bodyPr/>
                  <a:lstStyle/>
                  <a:p>
                    <a:r>
                      <a:rPr lang="en-US" sz="900"/>
                      <a:t>Turkey</a:t>
                    </a:r>
                  </a:p>
                </c:rich>
              </c:tx>
              <c:showLegendKey val="0"/>
              <c:showVal val="1"/>
              <c:showCatName val="0"/>
              <c:showSerName val="0"/>
              <c:showPercent val="0"/>
              <c:showBubbleSize val="0"/>
              <c:extLst>
                <c:ext xmlns:c15="http://schemas.microsoft.com/office/drawing/2012/chart" uri="{CE6537A1-D6FC-4f65-9D91-7224C49458BB}">
                  <c15:layout/>
                </c:ext>
              </c:extLst>
            </c:dLbl>
            <c:dLbl>
              <c:idx val="16"/>
              <c:layout/>
              <c:tx>
                <c:rich>
                  <a:bodyPr/>
                  <a:lstStyle/>
                  <a:p>
                    <a:r>
                      <a:rPr lang="en-US" sz="900"/>
                      <a:t>Croatia</a:t>
                    </a:r>
                  </a:p>
                </c:rich>
              </c:tx>
              <c:showLegendKey val="0"/>
              <c:showVal val="1"/>
              <c:showCatName val="0"/>
              <c:showSerName val="0"/>
              <c:showPercent val="0"/>
              <c:showBubbleSize val="0"/>
              <c:extLst>
                <c:ext xmlns:c15="http://schemas.microsoft.com/office/drawing/2012/chart" uri="{CE6537A1-D6FC-4f65-9D91-7224C49458BB}">
                  <c15:layout/>
                </c:ext>
              </c:extLst>
            </c:dLbl>
            <c:dLbl>
              <c:idx val="17"/>
              <c:layout/>
              <c:tx>
                <c:rich>
                  <a:bodyPr/>
                  <a:lstStyle/>
                  <a:p>
                    <a:r>
                      <a:rPr lang="en-US" sz="900"/>
                      <a:t>Latvia</a:t>
                    </a:r>
                  </a:p>
                </c:rich>
              </c:tx>
              <c:showLegendKey val="0"/>
              <c:showVal val="1"/>
              <c:showCatName val="0"/>
              <c:showSerName val="0"/>
              <c:showPercent val="0"/>
              <c:showBubbleSize val="0"/>
              <c:extLst>
                <c:ext xmlns:c15="http://schemas.microsoft.com/office/drawing/2012/chart" uri="{CE6537A1-D6FC-4f65-9D91-7224C49458BB}">
                  <c15:layout/>
                </c:ext>
              </c:extLst>
            </c:dLbl>
            <c:dLbl>
              <c:idx val="18"/>
              <c:layout/>
              <c:tx>
                <c:rich>
                  <a:bodyPr/>
                  <a:lstStyle/>
                  <a:p>
                    <a:r>
                      <a:rPr lang="en-US" sz="900"/>
                      <a:t>Kazakhstan</a:t>
                    </a:r>
                  </a:p>
                </c:rich>
              </c:tx>
              <c:showLegendKey val="0"/>
              <c:showVal val="1"/>
              <c:showCatName val="0"/>
              <c:showSerName val="0"/>
              <c:showPercent val="0"/>
              <c:showBubbleSize val="0"/>
              <c:extLst>
                <c:ext xmlns:c15="http://schemas.microsoft.com/office/drawing/2012/chart" uri="{CE6537A1-D6FC-4f65-9D91-7224C49458BB}">
                  <c15:layout/>
                </c:ext>
              </c:extLst>
            </c:dLbl>
            <c:dLbl>
              <c:idx val="19"/>
              <c:layout/>
              <c:tx>
                <c:rich>
                  <a:bodyPr/>
                  <a:lstStyle/>
                  <a:p>
                    <a:r>
                      <a:rPr lang="en-US" sz="900"/>
                      <a:t>Poland</a:t>
                    </a:r>
                  </a:p>
                </c:rich>
              </c:tx>
              <c:showLegendKey val="0"/>
              <c:showVal val="1"/>
              <c:showCatName val="0"/>
              <c:showSerName val="0"/>
              <c:showPercent val="0"/>
              <c:showBubbleSize val="0"/>
              <c:extLst>
                <c:ext xmlns:c15="http://schemas.microsoft.com/office/drawing/2012/chart" uri="{CE6537A1-D6FC-4f65-9D91-7224C49458BB}">
                  <c15:layout/>
                </c:ext>
              </c:extLst>
            </c:dLbl>
            <c:dLbl>
              <c:idx val="20"/>
              <c:layout/>
              <c:tx>
                <c:rich>
                  <a:bodyPr/>
                  <a:lstStyle/>
                  <a:p>
                    <a:r>
                      <a:rPr lang="en-US" sz="900"/>
                      <a:t>Hungary</a:t>
                    </a:r>
                  </a:p>
                </c:rich>
              </c:tx>
              <c:showLegendKey val="0"/>
              <c:showVal val="1"/>
              <c:showCatName val="0"/>
              <c:showSerName val="0"/>
              <c:showPercent val="0"/>
              <c:showBubbleSize val="0"/>
              <c:extLst>
                <c:ext xmlns:c15="http://schemas.microsoft.com/office/drawing/2012/chart" uri="{CE6537A1-D6FC-4f65-9D91-7224C49458BB}">
                  <c15:layout/>
                </c:ext>
              </c:extLst>
            </c:dLbl>
            <c:dLbl>
              <c:idx val="21"/>
              <c:layout/>
              <c:tx>
                <c:rich>
                  <a:bodyPr/>
                  <a:lstStyle/>
                  <a:p>
                    <a:r>
                      <a:rPr lang="en-US" sz="900"/>
                      <a:t>Russia</a:t>
                    </a:r>
                  </a:p>
                </c:rich>
              </c:tx>
              <c:showLegendKey val="0"/>
              <c:showVal val="1"/>
              <c:showCatName val="0"/>
              <c:showSerName val="0"/>
              <c:showPercent val="0"/>
              <c:showBubbleSize val="0"/>
              <c:extLst>
                <c:ext xmlns:c15="http://schemas.microsoft.com/office/drawing/2012/chart" uri="{CE6537A1-D6FC-4f65-9D91-7224C49458BB}">
                  <c15:layout/>
                </c:ext>
              </c:extLst>
            </c:dLbl>
            <c:dLbl>
              <c:idx val="22"/>
              <c:layout/>
              <c:tx>
                <c:rich>
                  <a:bodyPr/>
                  <a:lstStyle/>
                  <a:p>
                    <a:r>
                      <a:rPr lang="en-US" sz="900"/>
                      <a:t>Lithuania</a:t>
                    </a:r>
                  </a:p>
                </c:rich>
              </c:tx>
              <c:showLegendKey val="0"/>
              <c:showVal val="1"/>
              <c:showCatName val="0"/>
              <c:showSerName val="0"/>
              <c:showPercent val="0"/>
              <c:showBubbleSize val="0"/>
              <c:extLst>
                <c:ext xmlns:c15="http://schemas.microsoft.com/office/drawing/2012/chart" uri="{CE6537A1-D6FC-4f65-9D91-7224C49458BB}">
                  <c15:layout/>
                </c:ext>
              </c:extLst>
            </c:dLbl>
            <c:dLbl>
              <c:idx val="23"/>
              <c:layout/>
              <c:tx>
                <c:rich>
                  <a:bodyPr/>
                  <a:lstStyle/>
                  <a:p>
                    <a:r>
                      <a:rPr lang="en-US" sz="900"/>
                      <a:t>Estonia</a:t>
                    </a:r>
                  </a:p>
                </c:rich>
              </c:tx>
              <c:showLegendKey val="0"/>
              <c:showVal val="1"/>
              <c:showCatName val="0"/>
              <c:showSerName val="0"/>
              <c:showPercent val="0"/>
              <c:showBubbleSize val="0"/>
              <c:extLst>
                <c:ext xmlns:c15="http://schemas.microsoft.com/office/drawing/2012/chart" uri="{CE6537A1-D6FC-4f65-9D91-7224C49458BB}">
                  <c15:layout/>
                </c:ext>
              </c:extLst>
            </c:dLbl>
            <c:dLbl>
              <c:idx val="24"/>
              <c:layout/>
              <c:tx>
                <c:rich>
                  <a:bodyPr/>
                  <a:lstStyle/>
                  <a:p>
                    <a:r>
                      <a:rPr lang="en-US" sz="900"/>
                      <a:t>Portugal</a:t>
                    </a:r>
                  </a:p>
                </c:rich>
              </c:tx>
              <c:showLegendKey val="0"/>
              <c:showVal val="1"/>
              <c:showCatName val="0"/>
              <c:showSerName val="0"/>
              <c:showPercent val="0"/>
              <c:showBubbleSize val="0"/>
              <c:extLst>
                <c:ext xmlns:c15="http://schemas.microsoft.com/office/drawing/2012/chart" uri="{CE6537A1-D6FC-4f65-9D91-7224C49458BB}">
                  <c15:layout/>
                </c:ext>
              </c:extLst>
            </c:dLbl>
            <c:dLbl>
              <c:idx val="25"/>
              <c:layout>
                <c:manualLayout>
                  <c:x val="0.0"/>
                  <c:y val="-0.00459242194931798"/>
                </c:manualLayout>
              </c:layout>
              <c:tx>
                <c:rich>
                  <a:bodyPr/>
                  <a:lstStyle/>
                  <a:p>
                    <a:r>
                      <a:rPr lang="en-US" sz="900"/>
                      <a:t>Greece</a:t>
                    </a:r>
                  </a:p>
                </c:rich>
              </c:tx>
              <c:showLegendKey val="0"/>
              <c:showVal val="1"/>
              <c:showCatName val="0"/>
              <c:showSerName val="0"/>
              <c:showPercent val="0"/>
              <c:showBubbleSize val="0"/>
              <c:extLst>
                <c:ext xmlns:c15="http://schemas.microsoft.com/office/drawing/2012/chart" uri="{CE6537A1-D6FC-4f65-9D91-7224C49458BB}">
                  <c15:layout/>
                </c:ext>
              </c:extLst>
            </c:dLbl>
            <c:dLbl>
              <c:idx val="26"/>
              <c:layout/>
              <c:tx>
                <c:rich>
                  <a:bodyPr/>
                  <a:lstStyle/>
                  <a:p>
                    <a:r>
                      <a:rPr lang="en-US" sz="900"/>
                      <a:t>Slovakia</a:t>
                    </a:r>
                  </a:p>
                </c:rich>
              </c:tx>
              <c:showLegendKey val="0"/>
              <c:showVal val="1"/>
              <c:showCatName val="0"/>
              <c:showSerName val="0"/>
              <c:showPercent val="0"/>
              <c:showBubbleSize val="0"/>
              <c:extLst>
                <c:ext xmlns:c15="http://schemas.microsoft.com/office/drawing/2012/chart" uri="{CE6537A1-D6FC-4f65-9D91-7224C49458BB}">
                  <c15:layout/>
                </c:ext>
              </c:extLst>
            </c:dLbl>
            <c:dLbl>
              <c:idx val="27"/>
              <c:layout>
                <c:manualLayout>
                  <c:x val="0.0"/>
                  <c:y val="-0.00459242194931798"/>
                </c:manualLayout>
              </c:layout>
              <c:tx>
                <c:rich>
                  <a:bodyPr/>
                  <a:lstStyle/>
                  <a:p>
                    <a:r>
                      <a:rPr lang="en-US" sz="900"/>
                      <a:t>Czech Republic</a:t>
                    </a:r>
                  </a:p>
                </c:rich>
              </c:tx>
              <c:showLegendKey val="0"/>
              <c:showVal val="1"/>
              <c:showCatName val="0"/>
              <c:showSerName val="0"/>
              <c:showPercent val="0"/>
              <c:showBubbleSize val="0"/>
              <c:extLst>
                <c:ext xmlns:c15="http://schemas.microsoft.com/office/drawing/2012/chart" uri="{CE6537A1-D6FC-4f65-9D91-7224C49458BB}">
                  <c15:layout/>
                </c:ext>
              </c:extLst>
            </c:dLbl>
            <c:dLbl>
              <c:idx val="28"/>
              <c:layout>
                <c:manualLayout>
                  <c:x val="0.0"/>
                  <c:y val="0.00918484389863597"/>
                </c:manualLayout>
              </c:layout>
              <c:tx>
                <c:rich>
                  <a:bodyPr/>
                  <a:lstStyle/>
                  <a:p>
                    <a:r>
                      <a:rPr lang="en-US" sz="900"/>
                      <a:t>SVN</a:t>
                    </a:r>
                  </a:p>
                </c:rich>
              </c:tx>
              <c:showLegendKey val="0"/>
              <c:showVal val="1"/>
              <c:showCatName val="0"/>
              <c:showSerName val="0"/>
              <c:showPercent val="0"/>
              <c:showBubbleSize val="0"/>
              <c:extLst>
                <c:ext xmlns:c15="http://schemas.microsoft.com/office/drawing/2012/chart" uri="{CE6537A1-D6FC-4f65-9D91-7224C49458BB}">
                  <c15:layout/>
                </c:ext>
              </c:extLst>
            </c:dLbl>
            <c:dLbl>
              <c:idx val="29"/>
              <c:layout/>
              <c:tx>
                <c:rich>
                  <a:bodyPr/>
                  <a:lstStyle/>
                  <a:p>
                    <a:r>
                      <a:rPr lang="en-US" sz="900"/>
                      <a:t>Malta</a:t>
                    </a:r>
                  </a:p>
                </c:rich>
              </c:tx>
              <c:showLegendKey val="0"/>
              <c:showVal val="1"/>
              <c:showCatName val="0"/>
              <c:showSerName val="0"/>
              <c:showPercent val="0"/>
              <c:showBubbleSize val="0"/>
              <c:extLst>
                <c:ext xmlns:c15="http://schemas.microsoft.com/office/drawing/2012/chart" uri="{CE6537A1-D6FC-4f65-9D91-7224C49458BB}">
                  <c15:layout/>
                </c:ext>
              </c:extLst>
            </c:dLbl>
            <c:dLbl>
              <c:idx val="30"/>
              <c:layout/>
              <c:tx>
                <c:rich>
                  <a:bodyPr/>
                  <a:lstStyle/>
                  <a:p>
                    <a:r>
                      <a:rPr lang="en-US" sz="900"/>
                      <a:t>Cyprus</a:t>
                    </a:r>
                  </a:p>
                </c:rich>
              </c:tx>
              <c:showLegendKey val="0"/>
              <c:showVal val="1"/>
              <c:showCatName val="0"/>
              <c:showSerName val="0"/>
              <c:showPercent val="0"/>
              <c:showBubbleSize val="0"/>
              <c:extLst>
                <c:ext xmlns:c15="http://schemas.microsoft.com/office/drawing/2012/chart" uri="{CE6537A1-D6FC-4f65-9D91-7224C49458BB}">
                  <c15:layout/>
                </c:ext>
              </c:extLst>
            </c:dLbl>
            <c:dLbl>
              <c:idx val="31"/>
              <c:layout>
                <c:manualLayout>
                  <c:x val="0.00292957756875511"/>
                  <c:y val="0.00918484389863597"/>
                </c:manualLayout>
              </c:layout>
              <c:tx>
                <c:rich>
                  <a:bodyPr/>
                  <a:lstStyle/>
                  <a:p>
                    <a:r>
                      <a:rPr lang="en-US" sz="900"/>
                      <a:t>Israel</a:t>
                    </a:r>
                  </a:p>
                </c:rich>
              </c:tx>
              <c:showLegendKey val="0"/>
              <c:showVal val="1"/>
              <c:showCatName val="0"/>
              <c:showSerName val="0"/>
              <c:showPercent val="0"/>
              <c:showBubbleSize val="0"/>
              <c:extLst>
                <c:ext xmlns:c15="http://schemas.microsoft.com/office/drawing/2012/chart" uri="{CE6537A1-D6FC-4f65-9D91-7224C49458BB}">
                  <c15:layout/>
                </c:ext>
              </c:extLst>
            </c:dLbl>
            <c:dLbl>
              <c:idx val="32"/>
              <c:layout/>
              <c:tx>
                <c:rich>
                  <a:bodyPr/>
                  <a:lstStyle/>
                  <a:p>
                    <a:r>
                      <a:rPr lang="en-US" sz="900"/>
                      <a:t>Spain</a:t>
                    </a:r>
                  </a:p>
                </c:rich>
              </c:tx>
              <c:showLegendKey val="0"/>
              <c:showVal val="1"/>
              <c:showCatName val="0"/>
              <c:showSerName val="0"/>
              <c:showPercent val="0"/>
              <c:showBubbleSize val="0"/>
              <c:extLst>
                <c:ext xmlns:c15="http://schemas.microsoft.com/office/drawing/2012/chart" uri="{CE6537A1-D6FC-4f65-9D91-7224C49458BB}">
                  <c15:layout/>
                </c:ext>
              </c:extLst>
            </c:dLbl>
            <c:dLbl>
              <c:idx val="33"/>
              <c:layout/>
              <c:tx>
                <c:rich>
                  <a:bodyPr/>
                  <a:lstStyle/>
                  <a:p>
                    <a:r>
                      <a:rPr lang="en-US" sz="900"/>
                      <a:t>Italy</a:t>
                    </a:r>
                  </a:p>
                </c:rich>
              </c:tx>
              <c:showLegendKey val="0"/>
              <c:showVal val="1"/>
              <c:showCatName val="0"/>
              <c:showSerName val="0"/>
              <c:showPercent val="0"/>
              <c:showBubbleSize val="0"/>
              <c:extLst>
                <c:ext xmlns:c15="http://schemas.microsoft.com/office/drawing/2012/chart" uri="{CE6537A1-D6FC-4f65-9D91-7224C49458BB}">
                  <c15:layout/>
                </c:ext>
              </c:extLst>
            </c:dLbl>
            <c:dLbl>
              <c:idx val="34"/>
              <c:layout/>
              <c:tx>
                <c:rich>
                  <a:bodyPr/>
                  <a:lstStyle/>
                  <a:p>
                    <a:r>
                      <a:rPr lang="en-US" sz="900"/>
                      <a:t>United Kingdom</a:t>
                    </a:r>
                  </a:p>
                </c:rich>
              </c:tx>
              <c:showLegendKey val="0"/>
              <c:showVal val="1"/>
              <c:showCatName val="0"/>
              <c:showSerName val="0"/>
              <c:showPercent val="0"/>
              <c:showBubbleSize val="0"/>
              <c:extLst>
                <c:ext xmlns:c15="http://schemas.microsoft.com/office/drawing/2012/chart" uri="{CE6537A1-D6FC-4f65-9D91-7224C49458BB}">
                  <c15:layout/>
                </c:ext>
              </c:extLst>
            </c:dLbl>
            <c:dLbl>
              <c:idx val="35"/>
              <c:layout/>
              <c:tx>
                <c:rich>
                  <a:bodyPr/>
                  <a:lstStyle/>
                  <a:p>
                    <a:r>
                      <a:rPr lang="en-US" sz="900"/>
                      <a:t>France</a:t>
                    </a:r>
                  </a:p>
                </c:rich>
              </c:tx>
              <c:showLegendKey val="0"/>
              <c:showVal val="1"/>
              <c:showCatName val="0"/>
              <c:showSerName val="0"/>
              <c:showPercent val="0"/>
              <c:showBubbleSize val="0"/>
              <c:extLst>
                <c:ext xmlns:c15="http://schemas.microsoft.com/office/drawing/2012/chart" uri="{CE6537A1-D6FC-4f65-9D91-7224C49458BB}">
                  <c15:layout/>
                </c:ext>
              </c:extLst>
            </c:dLbl>
            <c:dLbl>
              <c:idx val="36"/>
              <c:layout/>
              <c:tx>
                <c:rich>
                  <a:bodyPr/>
                  <a:lstStyle/>
                  <a:p>
                    <a:r>
                      <a:rPr lang="en-US" sz="900"/>
                      <a:t>Finland</a:t>
                    </a:r>
                  </a:p>
                </c:rich>
              </c:tx>
              <c:showLegendKey val="0"/>
              <c:showVal val="1"/>
              <c:showCatName val="0"/>
              <c:showSerName val="0"/>
              <c:showPercent val="0"/>
              <c:showBubbleSize val="0"/>
              <c:extLst>
                <c:ext xmlns:c15="http://schemas.microsoft.com/office/drawing/2012/chart" uri="{CE6537A1-D6FC-4f65-9D91-7224C49458BB}">
                  <c15:layout/>
                </c:ext>
              </c:extLst>
            </c:dLbl>
            <c:dLbl>
              <c:idx val="37"/>
              <c:layout/>
              <c:tx>
                <c:rich>
                  <a:bodyPr/>
                  <a:lstStyle/>
                  <a:p>
                    <a:r>
                      <a:rPr lang="en-US" sz="900"/>
                      <a:t>Iceland</a:t>
                    </a:r>
                  </a:p>
                </c:rich>
              </c:tx>
              <c:showLegendKey val="0"/>
              <c:showVal val="1"/>
              <c:showCatName val="0"/>
              <c:showSerName val="0"/>
              <c:showPercent val="0"/>
              <c:showBubbleSize val="0"/>
              <c:extLst>
                <c:ext xmlns:c15="http://schemas.microsoft.com/office/drawing/2012/chart" uri="{CE6537A1-D6FC-4f65-9D91-7224C49458BB}">
                  <c15:layout/>
                </c:ext>
              </c:extLst>
            </c:dLbl>
            <c:dLbl>
              <c:idx val="38"/>
              <c:layout/>
              <c:tx>
                <c:rich>
                  <a:bodyPr/>
                  <a:lstStyle/>
                  <a:p>
                    <a:r>
                      <a:rPr lang="en-US" sz="900"/>
                      <a:t>Belgium</a:t>
                    </a:r>
                  </a:p>
                </c:rich>
              </c:tx>
              <c:showLegendKey val="0"/>
              <c:showVal val="1"/>
              <c:showCatName val="0"/>
              <c:showSerName val="0"/>
              <c:showPercent val="0"/>
              <c:showBubbleSize val="0"/>
              <c:extLst>
                <c:ext xmlns:c15="http://schemas.microsoft.com/office/drawing/2012/chart" uri="{CE6537A1-D6FC-4f65-9D91-7224C49458BB}">
                  <c15:layout/>
                </c:ext>
              </c:extLst>
            </c:dLbl>
            <c:dLbl>
              <c:idx val="39"/>
              <c:layout/>
              <c:tx>
                <c:rich>
                  <a:bodyPr/>
                  <a:lstStyle/>
                  <a:p>
                    <a:r>
                      <a:rPr lang="en-US" sz="900"/>
                      <a:t>Denmark</a:t>
                    </a:r>
                  </a:p>
                </c:rich>
              </c:tx>
              <c:showLegendKey val="0"/>
              <c:showVal val="1"/>
              <c:showCatName val="0"/>
              <c:showSerName val="0"/>
              <c:showPercent val="0"/>
              <c:showBubbleSize val="0"/>
              <c:extLst>
                <c:ext xmlns:c15="http://schemas.microsoft.com/office/drawing/2012/chart" uri="{CE6537A1-D6FC-4f65-9D91-7224C49458BB}">
                  <c15:layout/>
                </c:ext>
              </c:extLst>
            </c:dLbl>
            <c:dLbl>
              <c:idx val="40"/>
              <c:layout/>
              <c:tx>
                <c:rich>
                  <a:bodyPr/>
                  <a:lstStyle/>
                  <a:p>
                    <a:r>
                      <a:rPr lang="en-US" sz="900"/>
                      <a:t>Sweden</a:t>
                    </a:r>
                  </a:p>
                </c:rich>
              </c:tx>
              <c:showLegendKey val="0"/>
              <c:showVal val="1"/>
              <c:showCatName val="0"/>
              <c:showSerName val="0"/>
              <c:showPercent val="0"/>
              <c:showBubbleSize val="0"/>
              <c:extLst>
                <c:ext xmlns:c15="http://schemas.microsoft.com/office/drawing/2012/chart" uri="{CE6537A1-D6FC-4f65-9D91-7224C49458BB}">
                  <c15:layout/>
                </c:ext>
              </c:extLst>
            </c:dLbl>
            <c:dLbl>
              <c:idx val="41"/>
              <c:layout>
                <c:manualLayout>
                  <c:x val="5.37083016509599E-17"/>
                  <c:y val="-0.00765403658219664"/>
                </c:manualLayout>
              </c:layout>
              <c:tx>
                <c:rich>
                  <a:bodyPr/>
                  <a:lstStyle/>
                  <a:p>
                    <a:r>
                      <a:rPr lang="en-US" sz="900"/>
                      <a:t>Germany</a:t>
                    </a:r>
                  </a:p>
                </c:rich>
              </c:tx>
              <c:showLegendKey val="0"/>
              <c:showVal val="1"/>
              <c:showCatName val="0"/>
              <c:showSerName val="0"/>
              <c:showPercent val="0"/>
              <c:showBubbleSize val="0"/>
              <c:extLst>
                <c:ext xmlns:c15="http://schemas.microsoft.com/office/drawing/2012/chart" uri="{CE6537A1-D6FC-4f65-9D91-7224C49458BB}">
                  <c15:layout/>
                </c:ext>
              </c:extLst>
            </c:dLbl>
            <c:dLbl>
              <c:idx val="42"/>
              <c:layout/>
              <c:tx>
                <c:rich>
                  <a:bodyPr/>
                  <a:lstStyle/>
                  <a:p>
                    <a:r>
                      <a:rPr lang="en-US" sz="900"/>
                      <a:t>Netherlands</a:t>
                    </a:r>
                  </a:p>
                </c:rich>
              </c:tx>
              <c:showLegendKey val="0"/>
              <c:showVal val="1"/>
              <c:showCatName val="0"/>
              <c:showSerName val="0"/>
              <c:showPercent val="0"/>
              <c:showBubbleSize val="0"/>
              <c:extLst>
                <c:ext xmlns:c15="http://schemas.microsoft.com/office/drawing/2012/chart" uri="{CE6537A1-D6FC-4f65-9D91-7224C49458BB}">
                  <c15:layout/>
                </c:ext>
              </c:extLst>
            </c:dLbl>
            <c:dLbl>
              <c:idx val="43"/>
              <c:layout/>
              <c:tx>
                <c:rich>
                  <a:bodyPr/>
                  <a:lstStyle/>
                  <a:p>
                    <a:r>
                      <a:rPr lang="en-US" sz="900"/>
                      <a:t>IRL</a:t>
                    </a:r>
                  </a:p>
                </c:rich>
              </c:tx>
              <c:showLegendKey val="0"/>
              <c:showVal val="1"/>
              <c:showCatName val="0"/>
              <c:showSerName val="0"/>
              <c:showPercent val="0"/>
              <c:showBubbleSize val="0"/>
              <c:extLst>
                <c:ext xmlns:c15="http://schemas.microsoft.com/office/drawing/2012/chart" uri="{CE6537A1-D6FC-4f65-9D91-7224C49458BB}">
                  <c15:layout/>
                </c:ext>
              </c:extLst>
            </c:dLbl>
            <c:dLbl>
              <c:idx val="44"/>
              <c:layout/>
              <c:tx>
                <c:rich>
                  <a:bodyPr/>
                  <a:lstStyle/>
                  <a:p>
                    <a:r>
                      <a:rPr lang="en-US" sz="900"/>
                      <a:t>Austria</a:t>
                    </a:r>
                  </a:p>
                </c:rich>
              </c:tx>
              <c:showLegendKey val="0"/>
              <c:showVal val="1"/>
              <c:showCatName val="0"/>
              <c:showSerName val="0"/>
              <c:showPercent val="0"/>
              <c:showBubbleSize val="0"/>
              <c:extLst>
                <c:ext xmlns:c15="http://schemas.microsoft.com/office/drawing/2012/chart" uri="{CE6537A1-D6FC-4f65-9D91-7224C49458BB}">
                  <c15:layout/>
                </c:ext>
              </c:extLst>
            </c:dLbl>
            <c:dLbl>
              <c:idx val="45"/>
              <c:layout/>
              <c:tx>
                <c:rich>
                  <a:bodyPr/>
                  <a:lstStyle/>
                  <a:p>
                    <a:r>
                      <a:rPr lang="en-US" sz="900"/>
                      <a:t>Switzerland</a:t>
                    </a:r>
                  </a:p>
                </c:rich>
              </c:tx>
              <c:showLegendKey val="0"/>
              <c:showVal val="1"/>
              <c:showCatName val="0"/>
              <c:showSerName val="0"/>
              <c:showPercent val="0"/>
              <c:showBubbleSize val="0"/>
              <c:extLst>
                <c:ext xmlns:c15="http://schemas.microsoft.com/office/drawing/2012/chart" uri="{CE6537A1-D6FC-4f65-9D91-7224C49458BB}">
                  <c15:layout/>
                </c:ext>
              </c:extLst>
            </c:dLbl>
            <c:dLbl>
              <c:idx val="46"/>
              <c:layout/>
              <c:tx>
                <c:rich>
                  <a:bodyPr/>
                  <a:lstStyle/>
                  <a:p>
                    <a:r>
                      <a:rPr lang="en-US" sz="900"/>
                      <a:t>Norway</a:t>
                    </a:r>
                  </a:p>
                </c:rich>
              </c:tx>
              <c:showLegendKey val="0"/>
              <c:showVal val="1"/>
              <c:showCatName val="0"/>
              <c:showSerName val="0"/>
              <c:showPercent val="0"/>
              <c:showBubbleSize val="0"/>
              <c:extLst>
                <c:ext xmlns:c15="http://schemas.microsoft.com/office/drawing/2012/chart" uri="{CE6537A1-D6FC-4f65-9D91-7224C49458BB}">
                  <c15:layout/>
                </c:ext>
              </c:extLst>
            </c:dLbl>
            <c:dLbl>
              <c:idx val="47"/>
              <c:layout/>
              <c:tx>
                <c:rich>
                  <a:bodyPr/>
                  <a:lstStyle/>
                  <a:p>
                    <a:r>
                      <a:rPr lang="en-US" sz="900"/>
                      <a:t>Luxembourg</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Figure3!$B$2:$B$49</c:f>
              <c:numCache>
                <c:formatCode>#,###,##0</c:formatCode>
                <c:ptCount val="48"/>
                <c:pt idx="0">
                  <c:v>1939.36936290483</c:v>
                </c:pt>
                <c:pt idx="1">
                  <c:v>2228.212147172641</c:v>
                </c:pt>
                <c:pt idx="2">
                  <c:v>4196.146308692163</c:v>
                </c:pt>
                <c:pt idx="3">
                  <c:v>3579.208662398158</c:v>
                </c:pt>
                <c:pt idx="4">
                  <c:v>4231.408638923324</c:v>
                </c:pt>
                <c:pt idx="5">
                  <c:v>5485.753912760779</c:v>
                </c:pt>
                <c:pt idx="6">
                  <c:v>6450.009421790604</c:v>
                </c:pt>
                <c:pt idx="7">
                  <c:v>6380.789764915861</c:v>
                </c:pt>
                <c:pt idx="8">
                  <c:v>6703.913268460658</c:v>
                </c:pt>
                <c:pt idx="9">
                  <c:v>7912.830692355564</c:v>
                </c:pt>
                <c:pt idx="10">
                  <c:v>7713.887291395401</c:v>
                </c:pt>
                <c:pt idx="11">
                  <c:v>12538.53965619001</c:v>
                </c:pt>
                <c:pt idx="12">
                  <c:v>10968.37902053214</c:v>
                </c:pt>
                <c:pt idx="13">
                  <c:v>12655.48101060294</c:v>
                </c:pt>
                <c:pt idx="14">
                  <c:v>12005.39123462917</c:v>
                </c:pt>
                <c:pt idx="15">
                  <c:v>8812.743323369511</c:v>
                </c:pt>
                <c:pt idx="16">
                  <c:v>15777.49760082403</c:v>
                </c:pt>
                <c:pt idx="17">
                  <c:v>18624.33354443198</c:v>
                </c:pt>
                <c:pt idx="18">
                  <c:v>14369.38287630424</c:v>
                </c:pt>
                <c:pt idx="19">
                  <c:v>16462.34482633452</c:v>
                </c:pt>
                <c:pt idx="20">
                  <c:v>17233.0009511748</c:v>
                </c:pt>
                <c:pt idx="21">
                  <c:v>18228.07568025317</c:v>
                </c:pt>
                <c:pt idx="22">
                  <c:v>19587.69895561668</c:v>
                </c:pt>
                <c:pt idx="23">
                  <c:v>19409.70042051945</c:v>
                </c:pt>
                <c:pt idx="24">
                  <c:v>17846.05223904835</c:v>
                </c:pt>
                <c:pt idx="25">
                  <c:v>17790.91581461988</c:v>
                </c:pt>
                <c:pt idx="26">
                  <c:v>19450.41808272684</c:v>
                </c:pt>
                <c:pt idx="27">
                  <c:v>16233.24915685087</c:v>
                </c:pt>
                <c:pt idx="28">
                  <c:v>21762.4953624946</c:v>
                </c:pt>
                <c:pt idx="29">
                  <c:v>18832.33836905649</c:v>
                </c:pt>
                <c:pt idx="30">
                  <c:v>19787.32337603691</c:v>
                </c:pt>
                <c:pt idx="31">
                  <c:v>24636.44207268261</c:v>
                </c:pt>
                <c:pt idx="32">
                  <c:v>23487.2776323287</c:v>
                </c:pt>
                <c:pt idx="33">
                  <c:v>22302.91391504338</c:v>
                </c:pt>
                <c:pt idx="34">
                  <c:v>27588.64393829241</c:v>
                </c:pt>
                <c:pt idx="35">
                  <c:v>29580.16042345811</c:v>
                </c:pt>
                <c:pt idx="36">
                  <c:v>32122.63802722521</c:v>
                </c:pt>
                <c:pt idx="37">
                  <c:v>27612.16938969895</c:v>
                </c:pt>
                <c:pt idx="38">
                  <c:v>30213.11961466536</c:v>
                </c:pt>
                <c:pt idx="39">
                  <c:v>37105.9370251697</c:v>
                </c:pt>
                <c:pt idx="40">
                  <c:v>38070.539332085</c:v>
                </c:pt>
                <c:pt idx="41">
                  <c:v>33027.907821559</c:v>
                </c:pt>
                <c:pt idx="42">
                  <c:v>34496.9225219072</c:v>
                </c:pt>
                <c:pt idx="43">
                  <c:v>23871.61874990776</c:v>
                </c:pt>
                <c:pt idx="44">
                  <c:v>25169.50807674347</c:v>
                </c:pt>
                <c:pt idx="45">
                  <c:v>42561.10044633613</c:v>
                </c:pt>
                <c:pt idx="46">
                  <c:v>56993.8830053598</c:v>
                </c:pt>
                <c:pt idx="47">
                  <c:v>41351.29317900386</c:v>
                </c:pt>
              </c:numCache>
            </c:numRef>
          </c:xVal>
          <c:yVal>
            <c:numRef>
              <c:f>Figure3!$C$2:$C$49</c:f>
              <c:numCache>
                <c:formatCode>#,###,##0.0</c:formatCode>
                <c:ptCount val="48"/>
                <c:pt idx="0">
                  <c:v>70.814</c:v>
                </c:pt>
                <c:pt idx="1">
                  <c:v>71.874</c:v>
                </c:pt>
                <c:pt idx="2">
                  <c:v>72.822</c:v>
                </c:pt>
                <c:pt idx="3">
                  <c:v>71.66800000000001</c:v>
                </c:pt>
                <c:pt idx="4">
                  <c:v>77.796</c:v>
                </c:pt>
                <c:pt idx="5">
                  <c:v>77.974</c:v>
                </c:pt>
                <c:pt idx="6">
                  <c:v>74.368</c:v>
                </c:pt>
                <c:pt idx="7">
                  <c:v>78.88800000000001</c:v>
                </c:pt>
                <c:pt idx="8">
                  <c:v>80.614</c:v>
                </c:pt>
                <c:pt idx="9">
                  <c:v>77.539</c:v>
                </c:pt>
                <c:pt idx="10">
                  <c:v>69.764</c:v>
                </c:pt>
                <c:pt idx="11">
                  <c:v>77.261</c:v>
                </c:pt>
                <c:pt idx="12">
                  <c:v>73.9</c:v>
                </c:pt>
                <c:pt idx="13">
                  <c:v>75.817</c:v>
                </c:pt>
                <c:pt idx="14">
                  <c:v>77.493</c:v>
                </c:pt>
                <c:pt idx="15">
                  <c:v>78.685</c:v>
                </c:pt>
                <c:pt idx="16">
                  <c:v>80.366</c:v>
                </c:pt>
                <c:pt idx="17">
                  <c:v>77.51</c:v>
                </c:pt>
                <c:pt idx="18">
                  <c:v>72.343</c:v>
                </c:pt>
                <c:pt idx="19">
                  <c:v>80.539</c:v>
                </c:pt>
                <c:pt idx="20">
                  <c:v>78.619</c:v>
                </c:pt>
                <c:pt idx="21">
                  <c:v>74.428</c:v>
                </c:pt>
                <c:pt idx="22">
                  <c:v>78.15600000000001</c:v>
                </c:pt>
                <c:pt idx="23">
                  <c:v>79.644</c:v>
                </c:pt>
                <c:pt idx="24">
                  <c:v>82.877</c:v>
                </c:pt>
                <c:pt idx="25">
                  <c:v>83.082</c:v>
                </c:pt>
                <c:pt idx="26">
                  <c:v>79.215</c:v>
                </c:pt>
                <c:pt idx="27">
                  <c:v>80.727</c:v>
                </c:pt>
                <c:pt idx="28">
                  <c:v>82.828</c:v>
                </c:pt>
                <c:pt idx="29">
                  <c:v>82.041</c:v>
                </c:pt>
                <c:pt idx="30">
                  <c:v>81.849</c:v>
                </c:pt>
                <c:pt idx="31">
                  <c:v>83.557</c:v>
                </c:pt>
                <c:pt idx="32">
                  <c:v>85.336</c:v>
                </c:pt>
                <c:pt idx="33">
                  <c:v>84.978</c:v>
                </c:pt>
                <c:pt idx="34">
                  <c:v>82.471</c:v>
                </c:pt>
                <c:pt idx="35">
                  <c:v>85.199</c:v>
                </c:pt>
                <c:pt idx="36">
                  <c:v>83.691</c:v>
                </c:pt>
                <c:pt idx="37">
                  <c:v>83.87</c:v>
                </c:pt>
                <c:pt idx="38">
                  <c:v>83.063</c:v>
                </c:pt>
                <c:pt idx="39">
                  <c:v>81.513</c:v>
                </c:pt>
                <c:pt idx="40">
                  <c:v>83.863</c:v>
                </c:pt>
                <c:pt idx="41">
                  <c:v>83.141</c:v>
                </c:pt>
                <c:pt idx="42">
                  <c:v>82.914</c:v>
                </c:pt>
                <c:pt idx="43">
                  <c:v>82.85</c:v>
                </c:pt>
                <c:pt idx="44">
                  <c:v>83.60899999999999</c:v>
                </c:pt>
                <c:pt idx="45">
                  <c:v>84.934</c:v>
                </c:pt>
                <c:pt idx="46">
                  <c:v>83.588</c:v>
                </c:pt>
                <c:pt idx="47">
                  <c:v>83.029</c:v>
                </c:pt>
              </c:numCache>
            </c:numRef>
          </c:yVal>
          <c:smooth val="0"/>
        </c:ser>
        <c:dLbls>
          <c:showLegendKey val="0"/>
          <c:showVal val="0"/>
          <c:showCatName val="0"/>
          <c:showSerName val="0"/>
          <c:showPercent val="0"/>
          <c:showBubbleSize val="0"/>
        </c:dLbls>
        <c:axId val="2079559264"/>
        <c:axId val="2078710912"/>
      </c:scatterChart>
      <c:valAx>
        <c:axId val="2079559264"/>
        <c:scaling>
          <c:orientation val="minMax"/>
        </c:scaling>
        <c:delete val="0"/>
        <c:axPos val="b"/>
        <c:title>
          <c:tx>
            <c:rich>
              <a:bodyPr/>
              <a:lstStyle/>
              <a:p>
                <a:pPr>
                  <a:defRPr lang="da-DK"/>
                </a:pPr>
                <a:r>
                  <a:rPr lang="en-US"/>
                  <a:t>Estimated GNI for females per capita (2011 PPP $), 2013  </a:t>
                </a:r>
              </a:p>
            </c:rich>
          </c:tx>
          <c:layout/>
          <c:overlay val="0"/>
        </c:title>
        <c:numFmt formatCode="#,###,##0" sourceLinked="1"/>
        <c:majorTickMark val="out"/>
        <c:minorTickMark val="none"/>
        <c:tickLblPos val="nextTo"/>
        <c:txPr>
          <a:bodyPr/>
          <a:lstStyle/>
          <a:p>
            <a:pPr>
              <a:defRPr lang="da-DK"/>
            </a:pPr>
            <a:endParaRPr lang="en-US"/>
          </a:p>
        </c:txPr>
        <c:crossAx val="2078710912"/>
        <c:crosses val="autoZero"/>
        <c:crossBetween val="midCat"/>
      </c:valAx>
      <c:valAx>
        <c:axId val="2078710912"/>
        <c:scaling>
          <c:orientation val="minMax"/>
          <c:max val="85.5"/>
          <c:min val="69.0"/>
        </c:scaling>
        <c:delete val="0"/>
        <c:axPos val="l"/>
        <c:title>
          <c:tx>
            <c:rich>
              <a:bodyPr rot="-5400000" vert="horz"/>
              <a:lstStyle/>
              <a:p>
                <a:pPr>
                  <a:defRPr lang="da-DK"/>
                </a:pPr>
                <a:r>
                  <a:rPr lang="en-US"/>
                  <a:t>Female life expectancy at birth (years), 2013</a:t>
                </a:r>
              </a:p>
            </c:rich>
          </c:tx>
          <c:layout/>
          <c:overlay val="0"/>
        </c:title>
        <c:numFmt formatCode="#,###,##0.0" sourceLinked="1"/>
        <c:majorTickMark val="out"/>
        <c:minorTickMark val="none"/>
        <c:tickLblPos val="nextTo"/>
        <c:txPr>
          <a:bodyPr/>
          <a:lstStyle/>
          <a:p>
            <a:pPr>
              <a:defRPr lang="da-DK"/>
            </a:pPr>
            <a:endParaRPr lang="en-US"/>
          </a:p>
        </c:txPr>
        <c:crossAx val="2079559264"/>
        <c:crosses val="autoZero"/>
        <c:crossBetween val="midCat"/>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[2]Figure10!$P$35</c:f>
              <c:strCache>
                <c:ptCount val="1"/>
                <c:pt idx="0">
                  <c:v>#REF!</c:v>
                </c:pt>
              </c:strCache>
            </c:strRef>
          </c:tx>
          <c:invertIfNegative val="0"/>
          <c:cat>
            <c:multiLvlStrRef>
              <c:f>[2]Figure10!$N$36:$O$39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[2]Figure10!$P$36:$P$39</c:f>
              <c:numCache>
                <c:formatCode>General</c:formatCode>
                <c:ptCount val="4"/>
                <c:pt idx="0">
                  <c:v>0.0</c:v>
                </c:pt>
                <c:pt idx="1">
                  <c:v>0.0</c:v>
                </c:pt>
                <c:pt idx="2">
                  <c:v>0.0</c:v>
                </c:pt>
                <c:pt idx="3">
                  <c:v>0.0</c:v>
                </c:pt>
              </c:numCache>
            </c:numRef>
          </c:val>
        </c:ser>
        <c:ser>
          <c:idx val="1"/>
          <c:order val="1"/>
          <c:tx>
            <c:strRef>
              <c:f>[2]Figure10!$Q$35</c:f>
              <c:strCache>
                <c:ptCount val="1"/>
                <c:pt idx="0">
                  <c:v>#REF!</c:v>
                </c:pt>
              </c:strCache>
            </c:strRef>
          </c:tx>
          <c:invertIfNegative val="0"/>
          <c:cat>
            <c:multiLvlStrRef>
              <c:f>[2]Figure10!$N$36:$O$39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[2]Figure10!$Q$36:$Q$39</c:f>
              <c:numCache>
                <c:formatCode>General</c:formatCode>
                <c:ptCount val="4"/>
                <c:pt idx="0">
                  <c:v>0.0</c:v>
                </c:pt>
                <c:pt idx="1">
                  <c:v>0.0</c:v>
                </c:pt>
                <c:pt idx="2">
                  <c:v>0.0</c:v>
                </c:pt>
                <c:pt idx="3">
                  <c:v>0.0</c:v>
                </c:pt>
              </c:numCache>
            </c:numRef>
          </c:val>
        </c:ser>
        <c:ser>
          <c:idx val="2"/>
          <c:order val="2"/>
          <c:tx>
            <c:strRef>
              <c:f>[2]Figure10!$R$35</c:f>
              <c:strCache>
                <c:ptCount val="1"/>
                <c:pt idx="0">
                  <c:v>#REF!</c:v>
                </c:pt>
              </c:strCache>
            </c:strRef>
          </c:tx>
          <c:invertIfNegative val="0"/>
          <c:cat>
            <c:multiLvlStrRef>
              <c:f>[2]Figure10!$N$36:$O$39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[2]Figure10!$R$36:$R$39</c:f>
              <c:numCache>
                <c:formatCode>General</c:formatCode>
                <c:ptCount val="4"/>
                <c:pt idx="0">
                  <c:v>0.0</c:v>
                </c:pt>
                <c:pt idx="1">
                  <c:v>0.0</c:v>
                </c:pt>
                <c:pt idx="2">
                  <c:v>0.0</c:v>
                </c:pt>
                <c:pt idx="3">
                  <c:v>0.0</c:v>
                </c:pt>
              </c:numCache>
            </c:numRef>
          </c:val>
        </c:ser>
        <c:ser>
          <c:idx val="3"/>
          <c:order val="3"/>
          <c:tx>
            <c:strRef>
              <c:f>[2]Figure10!$S$35</c:f>
              <c:strCache>
                <c:ptCount val="1"/>
                <c:pt idx="0">
                  <c:v>#REF!</c:v>
                </c:pt>
              </c:strCache>
            </c:strRef>
          </c:tx>
          <c:invertIfNegative val="0"/>
          <c:cat>
            <c:multiLvlStrRef>
              <c:f>[2]Figure10!$N$36:$O$39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[2]Figure10!$S$36:$S$39</c:f>
              <c:numCache>
                <c:formatCode>General</c:formatCode>
                <c:ptCount val="4"/>
                <c:pt idx="0">
                  <c:v>0.0</c:v>
                </c:pt>
                <c:pt idx="1">
                  <c:v>0.0</c:v>
                </c:pt>
                <c:pt idx="2">
                  <c:v>0.0</c:v>
                </c:pt>
                <c:pt idx="3">
                  <c:v>0.0</c:v>
                </c:pt>
              </c:numCache>
            </c:numRef>
          </c:val>
        </c:ser>
        <c:ser>
          <c:idx val="4"/>
          <c:order val="4"/>
          <c:tx>
            <c:strRef>
              <c:f>[2]Figure10!$T$35</c:f>
              <c:strCache>
                <c:ptCount val="1"/>
                <c:pt idx="0">
                  <c:v>#REF!</c:v>
                </c:pt>
              </c:strCache>
            </c:strRef>
          </c:tx>
          <c:invertIfNegative val="0"/>
          <c:cat>
            <c:multiLvlStrRef>
              <c:f>[2]Figure10!$N$36:$O$39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[2]Figure10!$T$36:$T$39</c:f>
              <c:numCache>
                <c:formatCode>General</c:formatCode>
                <c:ptCount val="4"/>
                <c:pt idx="0">
                  <c:v>0.0</c:v>
                </c:pt>
                <c:pt idx="1">
                  <c:v>0.0</c:v>
                </c:pt>
                <c:pt idx="2">
                  <c:v>0.0</c:v>
                </c:pt>
                <c:pt idx="3">
                  <c:v>0.0</c:v>
                </c:pt>
              </c:numCache>
            </c:numRef>
          </c:val>
        </c:ser>
        <c:ser>
          <c:idx val="5"/>
          <c:order val="5"/>
          <c:tx>
            <c:strRef>
              <c:f>[2]Figure10!$U$35</c:f>
              <c:strCache>
                <c:ptCount val="1"/>
                <c:pt idx="0">
                  <c:v>#REF!</c:v>
                </c:pt>
              </c:strCache>
            </c:strRef>
          </c:tx>
          <c:invertIfNegative val="0"/>
          <c:cat>
            <c:multiLvlStrRef>
              <c:f>[2]Figure10!$N$36:$O$39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[2]Figure10!$U$36:$U$39</c:f>
              <c:numCache>
                <c:formatCode>General</c:formatCode>
                <c:ptCount val="4"/>
                <c:pt idx="0">
                  <c:v>0.0</c:v>
                </c:pt>
                <c:pt idx="1">
                  <c:v>0.0</c:v>
                </c:pt>
                <c:pt idx="2">
                  <c:v>0.0</c:v>
                </c:pt>
                <c:pt idx="3">
                  <c:v>0.0</c:v>
                </c:pt>
              </c:numCache>
            </c:numRef>
          </c:val>
        </c:ser>
        <c:ser>
          <c:idx val="6"/>
          <c:order val="6"/>
          <c:tx>
            <c:strRef>
              <c:f>[2]Figure10!$V$35</c:f>
              <c:strCache>
                <c:ptCount val="1"/>
                <c:pt idx="0">
                  <c:v>#REF!</c:v>
                </c:pt>
              </c:strCache>
            </c:strRef>
          </c:tx>
          <c:invertIfNegative val="0"/>
          <c:cat>
            <c:multiLvlStrRef>
              <c:f>[2]Figure10!$N$36:$O$39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[2]Figure10!$V$36:$V$39</c:f>
              <c:numCache>
                <c:formatCode>General</c:formatCode>
                <c:ptCount val="4"/>
                <c:pt idx="0">
                  <c:v>0.0</c:v>
                </c:pt>
                <c:pt idx="1">
                  <c:v>0.0</c:v>
                </c:pt>
                <c:pt idx="2">
                  <c:v>0.0</c:v>
                </c:pt>
                <c:pt idx="3">
                  <c:v>0.0</c:v>
                </c:pt>
              </c:numCache>
            </c:numRef>
          </c:val>
        </c:ser>
        <c:ser>
          <c:idx val="7"/>
          <c:order val="7"/>
          <c:tx>
            <c:strRef>
              <c:f>[2]Figure10!$W$35</c:f>
              <c:strCache>
                <c:ptCount val="1"/>
                <c:pt idx="0">
                  <c:v>#REF!</c:v>
                </c:pt>
              </c:strCache>
            </c:strRef>
          </c:tx>
          <c:invertIfNegative val="0"/>
          <c:cat>
            <c:multiLvlStrRef>
              <c:f>[2]Figure10!$N$36:$O$39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[2]Figure10!$W$36:$W$39</c:f>
              <c:numCache>
                <c:formatCode>General</c:formatCode>
                <c:ptCount val="4"/>
                <c:pt idx="0">
                  <c:v>0.0</c:v>
                </c:pt>
                <c:pt idx="1">
                  <c:v>0.0</c:v>
                </c:pt>
                <c:pt idx="2">
                  <c:v>0.0</c:v>
                </c:pt>
                <c:pt idx="3">
                  <c:v>0.0</c:v>
                </c:pt>
              </c:numCache>
            </c:numRef>
          </c:val>
        </c:ser>
        <c:ser>
          <c:idx val="8"/>
          <c:order val="8"/>
          <c:tx>
            <c:strRef>
              <c:f>[2]Figure10!$X$35</c:f>
              <c:strCache>
                <c:ptCount val="1"/>
                <c:pt idx="0">
                  <c:v>#REF!</c:v>
                </c:pt>
              </c:strCache>
            </c:strRef>
          </c:tx>
          <c:invertIfNegative val="0"/>
          <c:cat>
            <c:multiLvlStrRef>
              <c:f>[2]Figure10!$N$36:$O$39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[2]Figure10!$X$36:$X$39</c:f>
              <c:numCache>
                <c:formatCode>General</c:formatCode>
                <c:ptCount val="4"/>
                <c:pt idx="0">
                  <c:v>0.0</c:v>
                </c:pt>
                <c:pt idx="1">
                  <c:v>0.0</c:v>
                </c:pt>
                <c:pt idx="2">
                  <c:v>0.0</c:v>
                </c:pt>
                <c:pt idx="3">
                  <c:v>0.0</c:v>
                </c:pt>
              </c:numCache>
            </c:numRef>
          </c:val>
        </c:ser>
        <c:ser>
          <c:idx val="9"/>
          <c:order val="9"/>
          <c:tx>
            <c:strRef>
              <c:f>[2]Figure10!$Y$35</c:f>
              <c:strCache>
                <c:ptCount val="1"/>
                <c:pt idx="0">
                  <c:v>#REF!</c:v>
                </c:pt>
              </c:strCache>
            </c:strRef>
          </c:tx>
          <c:invertIfNegative val="0"/>
          <c:cat>
            <c:multiLvlStrRef>
              <c:f>[2]Figure10!$N$36:$O$39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[2]Figure10!$Y$36:$Y$39</c:f>
              <c:numCache>
                <c:formatCode>General</c:formatCode>
                <c:ptCount val="4"/>
                <c:pt idx="0">
                  <c:v>0.0</c:v>
                </c:pt>
                <c:pt idx="1">
                  <c:v>0.0</c:v>
                </c:pt>
                <c:pt idx="2">
                  <c:v>0.0</c:v>
                </c:pt>
                <c:pt idx="3">
                  <c:v>0.0</c:v>
                </c:pt>
              </c:numCache>
            </c:numRef>
          </c:val>
        </c:ser>
        <c:dLbls>
          <c:showLegendKey val="0"/>
          <c:showVal val="0"/>
          <c:showCatName val="0"/>
          <c:showSerName val="0"/>
          <c:showPercent val="0"/>
          <c:showBubbleSize val="0"/>
        </c:dLbls>
        <c:gapWidth val="150"/>
        <c:overlap val="100"/>
        <c:axId val="2079635536"/>
        <c:axId val="2079638528"/>
      </c:barChart>
      <c:catAx>
        <c:axId val="2079635536"/>
        <c:scaling>
          <c:orientation val="minMax"/>
        </c:scaling>
        <c:delete val="0"/>
        <c:axPos val="l"/>
        <c:numFmt formatCode="General" sourceLinked="1"/>
        <c:majorTickMark val="out"/>
        <c:minorTickMark val="none"/>
        <c:tickLblPos val="nextTo"/>
        <c:txPr>
          <a:bodyPr/>
          <a:lstStyle/>
          <a:p>
            <a:pPr>
              <a:defRPr lang="da-DK"/>
            </a:pPr>
            <a:endParaRPr lang="en-US"/>
          </a:p>
        </c:txPr>
        <c:crossAx val="2079638528"/>
        <c:crosses val="autoZero"/>
        <c:auto val="1"/>
        <c:lblAlgn val="ctr"/>
        <c:lblOffset val="100"/>
        <c:noMultiLvlLbl val="0"/>
      </c:catAx>
      <c:valAx>
        <c:axId val="2079638528"/>
        <c:scaling>
          <c:orientation val="minMax"/>
        </c:scaling>
        <c:delete val="0"/>
        <c:axPos val="b"/>
        <c:majorGridlines/>
        <c:numFmt formatCode="General" sourceLinked="1"/>
        <c:majorTickMark val="out"/>
        <c:minorTickMark val="none"/>
        <c:tickLblPos val="nextTo"/>
        <c:txPr>
          <a:bodyPr/>
          <a:lstStyle/>
          <a:p>
            <a:pPr>
              <a:defRPr lang="da-DK"/>
            </a:pPr>
            <a:endParaRPr lang="en-US"/>
          </a:p>
        </c:txPr>
        <c:crossAx val="2079635536"/>
        <c:crosses val="autoZero"/>
        <c:crossBetween val="between"/>
      </c:valAx>
    </c:plotArea>
    <c:legend>
      <c:legendPos val="r"/>
      <c:layout>
        <c:manualLayout>
          <c:xMode val="edge"/>
          <c:yMode val="edge"/>
          <c:x val="0.681391477664736"/>
          <c:y val="0.0810301837270341"/>
          <c:w val="0.266552798429245"/>
          <c:h val="0.713681719824617"/>
        </c:manualLayout>
      </c:layout>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[2]Figure10!$C$35</c:f>
              <c:strCache>
                <c:ptCount val="1"/>
                <c:pt idx="0">
                  <c:v>#REF!</c:v>
                </c:pt>
              </c:strCache>
            </c:strRef>
          </c:tx>
          <c:invertIfNegative val="0"/>
          <c:cat>
            <c:multiLvlStrRef>
              <c:f>[2]Figure10!$A$36:$B$39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[2]Figure10!$C$36:$C$39</c:f>
              <c:numCache>
                <c:formatCode>General</c:formatCode>
                <c:ptCount val="4"/>
                <c:pt idx="0">
                  <c:v>0.0</c:v>
                </c:pt>
                <c:pt idx="1">
                  <c:v>0.0</c:v>
                </c:pt>
                <c:pt idx="2">
                  <c:v>0.0</c:v>
                </c:pt>
                <c:pt idx="3">
                  <c:v>0.0</c:v>
                </c:pt>
              </c:numCache>
            </c:numRef>
          </c:val>
        </c:ser>
        <c:ser>
          <c:idx val="1"/>
          <c:order val="1"/>
          <c:tx>
            <c:strRef>
              <c:f>[2]Figure10!$D$35</c:f>
              <c:strCache>
                <c:ptCount val="1"/>
                <c:pt idx="0">
                  <c:v>#REF!</c:v>
                </c:pt>
              </c:strCache>
            </c:strRef>
          </c:tx>
          <c:invertIfNegative val="0"/>
          <c:cat>
            <c:multiLvlStrRef>
              <c:f>[2]Figure10!$A$36:$B$39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[2]Figure10!$D$36:$D$39</c:f>
              <c:numCache>
                <c:formatCode>General</c:formatCode>
                <c:ptCount val="4"/>
                <c:pt idx="0">
                  <c:v>0.0</c:v>
                </c:pt>
                <c:pt idx="1">
                  <c:v>0.0</c:v>
                </c:pt>
                <c:pt idx="2">
                  <c:v>0.0</c:v>
                </c:pt>
                <c:pt idx="3">
                  <c:v>0.0</c:v>
                </c:pt>
              </c:numCache>
            </c:numRef>
          </c:val>
        </c:ser>
        <c:ser>
          <c:idx val="2"/>
          <c:order val="2"/>
          <c:tx>
            <c:strRef>
              <c:f>[2]Figure10!$E$35</c:f>
              <c:strCache>
                <c:ptCount val="1"/>
                <c:pt idx="0">
                  <c:v>#REF!</c:v>
                </c:pt>
              </c:strCache>
            </c:strRef>
          </c:tx>
          <c:invertIfNegative val="0"/>
          <c:cat>
            <c:multiLvlStrRef>
              <c:f>[2]Figure10!$A$36:$B$39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[2]Figure10!$E$36:$E$39</c:f>
              <c:numCache>
                <c:formatCode>General</c:formatCode>
                <c:ptCount val="4"/>
                <c:pt idx="0">
                  <c:v>0.0</c:v>
                </c:pt>
                <c:pt idx="1">
                  <c:v>0.0</c:v>
                </c:pt>
                <c:pt idx="2">
                  <c:v>0.0</c:v>
                </c:pt>
                <c:pt idx="3">
                  <c:v>0.0</c:v>
                </c:pt>
              </c:numCache>
            </c:numRef>
          </c:val>
        </c:ser>
        <c:ser>
          <c:idx val="3"/>
          <c:order val="3"/>
          <c:tx>
            <c:strRef>
              <c:f>[2]Figure10!$F$35</c:f>
              <c:strCache>
                <c:ptCount val="1"/>
                <c:pt idx="0">
                  <c:v>#REF!</c:v>
                </c:pt>
              </c:strCache>
            </c:strRef>
          </c:tx>
          <c:invertIfNegative val="0"/>
          <c:cat>
            <c:multiLvlStrRef>
              <c:f>[2]Figure10!$A$36:$B$39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[2]Figure10!$F$36:$F$39</c:f>
              <c:numCache>
                <c:formatCode>General</c:formatCode>
                <c:ptCount val="4"/>
                <c:pt idx="0">
                  <c:v>0.0</c:v>
                </c:pt>
                <c:pt idx="1">
                  <c:v>0.0</c:v>
                </c:pt>
                <c:pt idx="2">
                  <c:v>0.0</c:v>
                </c:pt>
                <c:pt idx="3">
                  <c:v>0.0</c:v>
                </c:pt>
              </c:numCache>
            </c:numRef>
          </c:val>
        </c:ser>
        <c:ser>
          <c:idx val="4"/>
          <c:order val="4"/>
          <c:tx>
            <c:strRef>
              <c:f>[2]Figure10!$G$35</c:f>
              <c:strCache>
                <c:ptCount val="1"/>
                <c:pt idx="0">
                  <c:v>#REF!</c:v>
                </c:pt>
              </c:strCache>
            </c:strRef>
          </c:tx>
          <c:invertIfNegative val="0"/>
          <c:cat>
            <c:multiLvlStrRef>
              <c:f>[2]Figure10!$A$36:$B$39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[2]Figure10!$G$36:$G$39</c:f>
              <c:numCache>
                <c:formatCode>General</c:formatCode>
                <c:ptCount val="4"/>
                <c:pt idx="0">
                  <c:v>0.0</c:v>
                </c:pt>
                <c:pt idx="1">
                  <c:v>0.0</c:v>
                </c:pt>
                <c:pt idx="2">
                  <c:v>0.0</c:v>
                </c:pt>
                <c:pt idx="3">
                  <c:v>0.0</c:v>
                </c:pt>
              </c:numCache>
            </c:numRef>
          </c:val>
        </c:ser>
        <c:ser>
          <c:idx val="5"/>
          <c:order val="5"/>
          <c:tx>
            <c:strRef>
              <c:f>[2]Figure10!$H$35</c:f>
              <c:strCache>
                <c:ptCount val="1"/>
                <c:pt idx="0">
                  <c:v>#REF!</c:v>
                </c:pt>
              </c:strCache>
            </c:strRef>
          </c:tx>
          <c:invertIfNegative val="0"/>
          <c:cat>
            <c:multiLvlStrRef>
              <c:f>[2]Figure10!$A$36:$B$39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[2]Figure10!$H$36:$H$39</c:f>
              <c:numCache>
                <c:formatCode>General</c:formatCode>
                <c:ptCount val="4"/>
                <c:pt idx="0">
                  <c:v>0.0</c:v>
                </c:pt>
                <c:pt idx="1">
                  <c:v>0.0</c:v>
                </c:pt>
                <c:pt idx="2">
                  <c:v>0.0</c:v>
                </c:pt>
                <c:pt idx="3">
                  <c:v>0.0</c:v>
                </c:pt>
              </c:numCache>
            </c:numRef>
          </c:val>
        </c:ser>
        <c:ser>
          <c:idx val="6"/>
          <c:order val="6"/>
          <c:tx>
            <c:strRef>
              <c:f>[2]Figure10!$I$35</c:f>
              <c:strCache>
                <c:ptCount val="1"/>
                <c:pt idx="0">
                  <c:v>#REF!</c:v>
                </c:pt>
              </c:strCache>
            </c:strRef>
          </c:tx>
          <c:invertIfNegative val="0"/>
          <c:cat>
            <c:multiLvlStrRef>
              <c:f>[2]Figure10!$A$36:$B$39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[2]Figure10!$I$36:$I$39</c:f>
              <c:numCache>
                <c:formatCode>General</c:formatCode>
                <c:ptCount val="4"/>
                <c:pt idx="0">
                  <c:v>0.0</c:v>
                </c:pt>
                <c:pt idx="1">
                  <c:v>0.0</c:v>
                </c:pt>
                <c:pt idx="2">
                  <c:v>0.0</c:v>
                </c:pt>
                <c:pt idx="3">
                  <c:v>0.0</c:v>
                </c:pt>
              </c:numCache>
            </c:numRef>
          </c:val>
        </c:ser>
        <c:ser>
          <c:idx val="7"/>
          <c:order val="7"/>
          <c:tx>
            <c:strRef>
              <c:f>[2]Figure10!$J$35</c:f>
              <c:strCache>
                <c:ptCount val="1"/>
                <c:pt idx="0">
                  <c:v>#REF!</c:v>
                </c:pt>
              </c:strCache>
            </c:strRef>
          </c:tx>
          <c:invertIfNegative val="0"/>
          <c:cat>
            <c:multiLvlStrRef>
              <c:f>[2]Figure10!$A$36:$B$39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[2]Figure10!$J$36:$J$39</c:f>
              <c:numCache>
                <c:formatCode>General</c:formatCode>
                <c:ptCount val="4"/>
                <c:pt idx="0">
                  <c:v>0.0</c:v>
                </c:pt>
                <c:pt idx="1">
                  <c:v>0.0</c:v>
                </c:pt>
                <c:pt idx="2">
                  <c:v>0.0</c:v>
                </c:pt>
                <c:pt idx="3">
                  <c:v>0.0</c:v>
                </c:pt>
              </c:numCache>
            </c:numRef>
          </c:val>
        </c:ser>
        <c:ser>
          <c:idx val="8"/>
          <c:order val="8"/>
          <c:tx>
            <c:strRef>
              <c:f>[2]Figure10!$K$35</c:f>
              <c:strCache>
                <c:ptCount val="1"/>
                <c:pt idx="0">
                  <c:v>#REF!</c:v>
                </c:pt>
              </c:strCache>
            </c:strRef>
          </c:tx>
          <c:invertIfNegative val="0"/>
          <c:cat>
            <c:multiLvlStrRef>
              <c:f>[2]Figure10!$A$36:$B$39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[2]Figure10!$K$36:$K$39</c:f>
              <c:numCache>
                <c:formatCode>General</c:formatCode>
                <c:ptCount val="4"/>
                <c:pt idx="0">
                  <c:v>0.0</c:v>
                </c:pt>
                <c:pt idx="1">
                  <c:v>0.0</c:v>
                </c:pt>
                <c:pt idx="2">
                  <c:v>0.0</c:v>
                </c:pt>
                <c:pt idx="3">
                  <c:v>0.0</c:v>
                </c:pt>
              </c:numCache>
            </c:numRef>
          </c:val>
        </c:ser>
        <c:ser>
          <c:idx val="9"/>
          <c:order val="9"/>
          <c:tx>
            <c:strRef>
              <c:f>[2]Figure10!$L$35</c:f>
              <c:strCache>
                <c:ptCount val="1"/>
                <c:pt idx="0">
                  <c:v>#REF!</c:v>
                </c:pt>
              </c:strCache>
            </c:strRef>
          </c:tx>
          <c:invertIfNegative val="0"/>
          <c:cat>
            <c:multiLvlStrRef>
              <c:f>[2]Figure10!$A$36:$B$39</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[2]Figure10!$L$36:$L$39</c:f>
              <c:numCache>
                <c:formatCode>General</c:formatCode>
                <c:ptCount val="4"/>
                <c:pt idx="0">
                  <c:v>0.0</c:v>
                </c:pt>
                <c:pt idx="1">
                  <c:v>0.0</c:v>
                </c:pt>
                <c:pt idx="2">
                  <c:v>0.0</c:v>
                </c:pt>
                <c:pt idx="3">
                  <c:v>0.0</c:v>
                </c:pt>
              </c:numCache>
            </c:numRef>
          </c:val>
        </c:ser>
        <c:dLbls>
          <c:showLegendKey val="0"/>
          <c:showVal val="0"/>
          <c:showCatName val="0"/>
          <c:showSerName val="0"/>
          <c:showPercent val="0"/>
          <c:showBubbleSize val="0"/>
        </c:dLbls>
        <c:gapWidth val="150"/>
        <c:overlap val="100"/>
        <c:axId val="2078785984"/>
        <c:axId val="2078788976"/>
      </c:barChart>
      <c:catAx>
        <c:axId val="2078785984"/>
        <c:scaling>
          <c:orientation val="minMax"/>
        </c:scaling>
        <c:delete val="0"/>
        <c:axPos val="r"/>
        <c:numFmt formatCode="General" sourceLinked="1"/>
        <c:majorTickMark val="out"/>
        <c:minorTickMark val="none"/>
        <c:tickLblPos val="nextTo"/>
        <c:txPr>
          <a:bodyPr/>
          <a:lstStyle/>
          <a:p>
            <a:pPr>
              <a:defRPr lang="da-DK"/>
            </a:pPr>
            <a:endParaRPr lang="en-US"/>
          </a:p>
        </c:txPr>
        <c:crossAx val="2078788976"/>
        <c:crosses val="autoZero"/>
        <c:auto val="1"/>
        <c:lblAlgn val="ctr"/>
        <c:lblOffset val="100"/>
        <c:noMultiLvlLbl val="0"/>
      </c:catAx>
      <c:valAx>
        <c:axId val="2078788976"/>
        <c:scaling>
          <c:orientation val="maxMin"/>
        </c:scaling>
        <c:delete val="0"/>
        <c:axPos val="b"/>
        <c:majorGridlines/>
        <c:numFmt formatCode="General" sourceLinked="1"/>
        <c:majorTickMark val="out"/>
        <c:minorTickMark val="none"/>
        <c:tickLblPos val="nextTo"/>
        <c:txPr>
          <a:bodyPr/>
          <a:lstStyle/>
          <a:p>
            <a:pPr>
              <a:defRPr lang="da-DK"/>
            </a:pPr>
            <a:endParaRPr lang="en-US"/>
          </a:p>
        </c:txPr>
        <c:crossAx val="2078785984"/>
        <c:crosses val="autoZero"/>
        <c:crossBetween val="between"/>
      </c:valAx>
    </c:plotArea>
    <c:legend>
      <c:legendPos val="l"/>
      <c:layout/>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[2]Figure10!$P$63</c:f>
              <c:strCache>
                <c:ptCount val="1"/>
                <c:pt idx="0">
                  <c:v>#REF!</c:v>
                </c:pt>
              </c:strCache>
            </c:strRef>
          </c:tx>
          <c:invertIfNegative val="0"/>
          <c:cat>
            <c:multiLvlStrRef>
              <c:f>[2]Figure10!$N$64:$O$67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[2]Figure10!$P$64:$P$67</c:f>
              <c:numCache>
                <c:formatCode>General</c:formatCode>
                <c:ptCount val="4"/>
                <c:pt idx="0">
                  <c:v>0.0</c:v>
                </c:pt>
                <c:pt idx="1">
                  <c:v>0.0</c:v>
                </c:pt>
                <c:pt idx="2">
                  <c:v>0.0</c:v>
                </c:pt>
                <c:pt idx="3">
                  <c:v>0.0</c:v>
                </c:pt>
              </c:numCache>
            </c:numRef>
          </c:val>
        </c:ser>
        <c:ser>
          <c:idx val="1"/>
          <c:order val="1"/>
          <c:tx>
            <c:strRef>
              <c:f>[2]Figure10!$Q$63</c:f>
              <c:strCache>
                <c:ptCount val="1"/>
                <c:pt idx="0">
                  <c:v>#REF!</c:v>
                </c:pt>
              </c:strCache>
            </c:strRef>
          </c:tx>
          <c:invertIfNegative val="0"/>
          <c:cat>
            <c:multiLvlStrRef>
              <c:f>[2]Figure10!$N$64:$O$67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[2]Figure10!$Q$64:$Q$67</c:f>
              <c:numCache>
                <c:formatCode>General</c:formatCode>
                <c:ptCount val="4"/>
                <c:pt idx="0">
                  <c:v>0.0</c:v>
                </c:pt>
                <c:pt idx="1">
                  <c:v>0.0</c:v>
                </c:pt>
                <c:pt idx="2">
                  <c:v>0.0</c:v>
                </c:pt>
                <c:pt idx="3">
                  <c:v>0.0</c:v>
                </c:pt>
              </c:numCache>
            </c:numRef>
          </c:val>
        </c:ser>
        <c:ser>
          <c:idx val="2"/>
          <c:order val="2"/>
          <c:tx>
            <c:strRef>
              <c:f>[2]Figure10!$R$63</c:f>
              <c:strCache>
                <c:ptCount val="1"/>
                <c:pt idx="0">
                  <c:v>#REF!</c:v>
                </c:pt>
              </c:strCache>
            </c:strRef>
          </c:tx>
          <c:invertIfNegative val="0"/>
          <c:cat>
            <c:multiLvlStrRef>
              <c:f>[2]Figure10!$N$64:$O$67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[2]Figure10!$R$64:$R$67</c:f>
              <c:numCache>
                <c:formatCode>General</c:formatCode>
                <c:ptCount val="4"/>
                <c:pt idx="0">
                  <c:v>0.0</c:v>
                </c:pt>
                <c:pt idx="1">
                  <c:v>0.0</c:v>
                </c:pt>
                <c:pt idx="2">
                  <c:v>0.0</c:v>
                </c:pt>
                <c:pt idx="3">
                  <c:v>0.0</c:v>
                </c:pt>
              </c:numCache>
            </c:numRef>
          </c:val>
        </c:ser>
        <c:ser>
          <c:idx val="3"/>
          <c:order val="3"/>
          <c:tx>
            <c:strRef>
              <c:f>[2]Figure10!$S$63</c:f>
              <c:strCache>
                <c:ptCount val="1"/>
                <c:pt idx="0">
                  <c:v>#REF!</c:v>
                </c:pt>
              </c:strCache>
            </c:strRef>
          </c:tx>
          <c:invertIfNegative val="0"/>
          <c:cat>
            <c:multiLvlStrRef>
              <c:f>[2]Figure10!$N$64:$O$67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[2]Figure10!$S$64:$S$67</c:f>
              <c:numCache>
                <c:formatCode>General</c:formatCode>
                <c:ptCount val="4"/>
                <c:pt idx="0">
                  <c:v>0.0</c:v>
                </c:pt>
                <c:pt idx="1">
                  <c:v>0.0</c:v>
                </c:pt>
                <c:pt idx="2">
                  <c:v>0.0</c:v>
                </c:pt>
                <c:pt idx="3">
                  <c:v>0.0</c:v>
                </c:pt>
              </c:numCache>
            </c:numRef>
          </c:val>
        </c:ser>
        <c:ser>
          <c:idx val="4"/>
          <c:order val="4"/>
          <c:tx>
            <c:strRef>
              <c:f>[2]Figure10!$T$63</c:f>
              <c:strCache>
                <c:ptCount val="1"/>
                <c:pt idx="0">
                  <c:v>#REF!</c:v>
                </c:pt>
              </c:strCache>
            </c:strRef>
          </c:tx>
          <c:invertIfNegative val="0"/>
          <c:cat>
            <c:multiLvlStrRef>
              <c:f>[2]Figure10!$N$64:$O$67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[2]Figure10!$T$64:$T$67</c:f>
              <c:numCache>
                <c:formatCode>General</c:formatCode>
                <c:ptCount val="4"/>
                <c:pt idx="0">
                  <c:v>0.0</c:v>
                </c:pt>
                <c:pt idx="1">
                  <c:v>0.0</c:v>
                </c:pt>
                <c:pt idx="2">
                  <c:v>0.0</c:v>
                </c:pt>
                <c:pt idx="3">
                  <c:v>0.0</c:v>
                </c:pt>
              </c:numCache>
            </c:numRef>
          </c:val>
        </c:ser>
        <c:ser>
          <c:idx val="5"/>
          <c:order val="5"/>
          <c:tx>
            <c:strRef>
              <c:f>[2]Figure10!$U$63</c:f>
              <c:strCache>
                <c:ptCount val="1"/>
                <c:pt idx="0">
                  <c:v>#REF!</c:v>
                </c:pt>
              </c:strCache>
            </c:strRef>
          </c:tx>
          <c:invertIfNegative val="0"/>
          <c:cat>
            <c:multiLvlStrRef>
              <c:f>[2]Figure10!$N$64:$O$67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[2]Figure10!$U$64:$U$67</c:f>
              <c:numCache>
                <c:formatCode>General</c:formatCode>
                <c:ptCount val="4"/>
                <c:pt idx="0">
                  <c:v>0.0</c:v>
                </c:pt>
                <c:pt idx="1">
                  <c:v>0.0</c:v>
                </c:pt>
                <c:pt idx="2">
                  <c:v>0.0</c:v>
                </c:pt>
                <c:pt idx="3">
                  <c:v>0.0</c:v>
                </c:pt>
              </c:numCache>
            </c:numRef>
          </c:val>
        </c:ser>
        <c:ser>
          <c:idx val="6"/>
          <c:order val="6"/>
          <c:tx>
            <c:strRef>
              <c:f>[2]Figure10!$V$63</c:f>
              <c:strCache>
                <c:ptCount val="1"/>
                <c:pt idx="0">
                  <c:v>#REF!</c:v>
                </c:pt>
              </c:strCache>
            </c:strRef>
          </c:tx>
          <c:invertIfNegative val="0"/>
          <c:cat>
            <c:multiLvlStrRef>
              <c:f>[2]Figure10!$N$64:$O$67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[2]Figure10!$V$64:$V$67</c:f>
              <c:numCache>
                <c:formatCode>General</c:formatCode>
                <c:ptCount val="4"/>
                <c:pt idx="0">
                  <c:v>0.0</c:v>
                </c:pt>
                <c:pt idx="1">
                  <c:v>0.0</c:v>
                </c:pt>
                <c:pt idx="2">
                  <c:v>0.0</c:v>
                </c:pt>
                <c:pt idx="3">
                  <c:v>0.0</c:v>
                </c:pt>
              </c:numCache>
            </c:numRef>
          </c:val>
        </c:ser>
        <c:ser>
          <c:idx val="7"/>
          <c:order val="7"/>
          <c:tx>
            <c:strRef>
              <c:f>[2]Figure10!$W$63</c:f>
              <c:strCache>
                <c:ptCount val="1"/>
                <c:pt idx="0">
                  <c:v>#REF!</c:v>
                </c:pt>
              </c:strCache>
            </c:strRef>
          </c:tx>
          <c:invertIfNegative val="0"/>
          <c:cat>
            <c:multiLvlStrRef>
              <c:f>[2]Figure10!$N$64:$O$67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[2]Figure10!$W$64:$W$67</c:f>
              <c:numCache>
                <c:formatCode>General</c:formatCode>
                <c:ptCount val="4"/>
                <c:pt idx="0">
                  <c:v>0.0</c:v>
                </c:pt>
                <c:pt idx="1">
                  <c:v>0.0</c:v>
                </c:pt>
                <c:pt idx="2">
                  <c:v>0.0</c:v>
                </c:pt>
                <c:pt idx="3">
                  <c:v>0.0</c:v>
                </c:pt>
              </c:numCache>
            </c:numRef>
          </c:val>
        </c:ser>
        <c:ser>
          <c:idx val="8"/>
          <c:order val="8"/>
          <c:tx>
            <c:strRef>
              <c:f>[2]Figure10!$X$63</c:f>
              <c:strCache>
                <c:ptCount val="1"/>
                <c:pt idx="0">
                  <c:v>#REF!</c:v>
                </c:pt>
              </c:strCache>
            </c:strRef>
          </c:tx>
          <c:invertIfNegative val="0"/>
          <c:cat>
            <c:multiLvlStrRef>
              <c:f>[2]Figure10!$N$64:$O$67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[2]Figure10!$X$64:$X$67</c:f>
              <c:numCache>
                <c:formatCode>General</c:formatCode>
                <c:ptCount val="4"/>
                <c:pt idx="0">
                  <c:v>0.0</c:v>
                </c:pt>
                <c:pt idx="1">
                  <c:v>0.0</c:v>
                </c:pt>
                <c:pt idx="2">
                  <c:v>0.0</c:v>
                </c:pt>
                <c:pt idx="3">
                  <c:v>0.0</c:v>
                </c:pt>
              </c:numCache>
            </c:numRef>
          </c:val>
        </c:ser>
        <c:ser>
          <c:idx val="9"/>
          <c:order val="9"/>
          <c:tx>
            <c:strRef>
              <c:f>[2]Figure10!$Y$63</c:f>
              <c:strCache>
                <c:ptCount val="1"/>
                <c:pt idx="0">
                  <c:v>#REF!</c:v>
                </c:pt>
              </c:strCache>
            </c:strRef>
          </c:tx>
          <c:invertIfNegative val="0"/>
          <c:cat>
            <c:multiLvlStrRef>
              <c:f>[2]Figure10!$N$64:$O$67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[2]Figure10!$Y$64:$Y$67</c:f>
              <c:numCache>
                <c:formatCode>General</c:formatCode>
                <c:ptCount val="4"/>
                <c:pt idx="0">
                  <c:v>0.0</c:v>
                </c:pt>
                <c:pt idx="1">
                  <c:v>0.0</c:v>
                </c:pt>
                <c:pt idx="2">
                  <c:v>0.0</c:v>
                </c:pt>
                <c:pt idx="3">
                  <c:v>0.0</c:v>
                </c:pt>
              </c:numCache>
            </c:numRef>
          </c:val>
        </c:ser>
        <c:dLbls>
          <c:showLegendKey val="0"/>
          <c:showVal val="0"/>
          <c:showCatName val="0"/>
          <c:showSerName val="0"/>
          <c:showPercent val="0"/>
          <c:showBubbleSize val="0"/>
        </c:dLbls>
        <c:gapWidth val="150"/>
        <c:overlap val="100"/>
        <c:axId val="2079741488"/>
        <c:axId val="2079744480"/>
      </c:barChart>
      <c:catAx>
        <c:axId val="2079741488"/>
        <c:scaling>
          <c:orientation val="minMax"/>
        </c:scaling>
        <c:delete val="0"/>
        <c:axPos val="l"/>
        <c:numFmt formatCode="General" sourceLinked="0"/>
        <c:majorTickMark val="out"/>
        <c:minorTickMark val="none"/>
        <c:tickLblPos val="nextTo"/>
        <c:txPr>
          <a:bodyPr/>
          <a:lstStyle/>
          <a:p>
            <a:pPr>
              <a:defRPr lang="da-DK"/>
            </a:pPr>
            <a:endParaRPr lang="en-US"/>
          </a:p>
        </c:txPr>
        <c:crossAx val="2079744480"/>
        <c:crosses val="autoZero"/>
        <c:auto val="1"/>
        <c:lblAlgn val="ctr"/>
        <c:lblOffset val="100"/>
        <c:noMultiLvlLbl val="0"/>
      </c:catAx>
      <c:valAx>
        <c:axId val="2079744480"/>
        <c:scaling>
          <c:orientation val="minMax"/>
        </c:scaling>
        <c:delete val="0"/>
        <c:axPos val="b"/>
        <c:majorGridlines/>
        <c:numFmt formatCode="General" sourceLinked="1"/>
        <c:majorTickMark val="out"/>
        <c:minorTickMark val="none"/>
        <c:tickLblPos val="nextTo"/>
        <c:txPr>
          <a:bodyPr/>
          <a:lstStyle/>
          <a:p>
            <a:pPr>
              <a:defRPr lang="da-DK"/>
            </a:pPr>
            <a:endParaRPr lang="en-US"/>
          </a:p>
        </c:txPr>
        <c:crossAx val="2079741488"/>
        <c:crosses val="autoZero"/>
        <c:crossBetween val="between"/>
      </c:valAx>
    </c:plotArea>
    <c:legend>
      <c:legendPos val="r"/>
      <c:layout>
        <c:manualLayout>
          <c:xMode val="edge"/>
          <c:yMode val="edge"/>
          <c:x val="0.673079627216278"/>
          <c:y val="0.0764005540974045"/>
          <c:w val="0.252660801352756"/>
          <c:h val="0.683986961976004"/>
        </c:manualLayout>
      </c:layout>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[2]Figure10!$C$63</c:f>
              <c:strCache>
                <c:ptCount val="1"/>
                <c:pt idx="0">
                  <c:v>#REF!</c:v>
                </c:pt>
              </c:strCache>
            </c:strRef>
          </c:tx>
          <c:invertIfNegative val="0"/>
          <c:cat>
            <c:multiLvlStrRef>
              <c:f>[2]Figure10!$A$64:$B$67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[2]Figure10!$C$64:$C$67</c:f>
              <c:numCache>
                <c:formatCode>General</c:formatCode>
                <c:ptCount val="4"/>
                <c:pt idx="0">
                  <c:v>0.0</c:v>
                </c:pt>
                <c:pt idx="1">
                  <c:v>0.0</c:v>
                </c:pt>
                <c:pt idx="2">
                  <c:v>0.0</c:v>
                </c:pt>
                <c:pt idx="3">
                  <c:v>0.0</c:v>
                </c:pt>
              </c:numCache>
            </c:numRef>
          </c:val>
        </c:ser>
        <c:ser>
          <c:idx val="1"/>
          <c:order val="1"/>
          <c:tx>
            <c:strRef>
              <c:f>[2]Figure10!$D$63</c:f>
              <c:strCache>
                <c:ptCount val="1"/>
                <c:pt idx="0">
                  <c:v>#REF!</c:v>
                </c:pt>
              </c:strCache>
            </c:strRef>
          </c:tx>
          <c:invertIfNegative val="0"/>
          <c:cat>
            <c:multiLvlStrRef>
              <c:f>[2]Figure10!$A$64:$B$67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[2]Figure10!$D$64:$D$67</c:f>
              <c:numCache>
                <c:formatCode>General</c:formatCode>
                <c:ptCount val="4"/>
                <c:pt idx="0">
                  <c:v>0.0</c:v>
                </c:pt>
                <c:pt idx="1">
                  <c:v>0.0</c:v>
                </c:pt>
                <c:pt idx="2">
                  <c:v>0.0</c:v>
                </c:pt>
                <c:pt idx="3">
                  <c:v>0.0</c:v>
                </c:pt>
              </c:numCache>
            </c:numRef>
          </c:val>
        </c:ser>
        <c:ser>
          <c:idx val="2"/>
          <c:order val="2"/>
          <c:tx>
            <c:strRef>
              <c:f>[2]Figure10!$E$63</c:f>
              <c:strCache>
                <c:ptCount val="1"/>
                <c:pt idx="0">
                  <c:v>#REF!</c:v>
                </c:pt>
              </c:strCache>
            </c:strRef>
          </c:tx>
          <c:invertIfNegative val="0"/>
          <c:cat>
            <c:multiLvlStrRef>
              <c:f>[2]Figure10!$A$64:$B$67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[2]Figure10!$E$64:$E$67</c:f>
              <c:numCache>
                <c:formatCode>General</c:formatCode>
                <c:ptCount val="4"/>
                <c:pt idx="0">
                  <c:v>0.0</c:v>
                </c:pt>
                <c:pt idx="1">
                  <c:v>0.0</c:v>
                </c:pt>
                <c:pt idx="2">
                  <c:v>0.0</c:v>
                </c:pt>
                <c:pt idx="3">
                  <c:v>0.0</c:v>
                </c:pt>
              </c:numCache>
            </c:numRef>
          </c:val>
        </c:ser>
        <c:ser>
          <c:idx val="3"/>
          <c:order val="3"/>
          <c:tx>
            <c:strRef>
              <c:f>[2]Figure10!$F$63</c:f>
              <c:strCache>
                <c:ptCount val="1"/>
                <c:pt idx="0">
                  <c:v>#REF!</c:v>
                </c:pt>
              </c:strCache>
            </c:strRef>
          </c:tx>
          <c:invertIfNegative val="0"/>
          <c:cat>
            <c:multiLvlStrRef>
              <c:f>[2]Figure10!$A$64:$B$67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[2]Figure10!$F$64:$F$67</c:f>
              <c:numCache>
                <c:formatCode>General</c:formatCode>
                <c:ptCount val="4"/>
                <c:pt idx="0">
                  <c:v>0.0</c:v>
                </c:pt>
                <c:pt idx="1">
                  <c:v>0.0</c:v>
                </c:pt>
                <c:pt idx="2">
                  <c:v>0.0</c:v>
                </c:pt>
                <c:pt idx="3">
                  <c:v>0.0</c:v>
                </c:pt>
              </c:numCache>
            </c:numRef>
          </c:val>
        </c:ser>
        <c:ser>
          <c:idx val="4"/>
          <c:order val="4"/>
          <c:tx>
            <c:strRef>
              <c:f>[2]Figure10!$G$63</c:f>
              <c:strCache>
                <c:ptCount val="1"/>
                <c:pt idx="0">
                  <c:v>#REF!</c:v>
                </c:pt>
              </c:strCache>
            </c:strRef>
          </c:tx>
          <c:invertIfNegative val="0"/>
          <c:cat>
            <c:multiLvlStrRef>
              <c:f>[2]Figure10!$A$64:$B$67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[2]Figure10!$G$64:$G$67</c:f>
              <c:numCache>
                <c:formatCode>General</c:formatCode>
                <c:ptCount val="4"/>
                <c:pt idx="0">
                  <c:v>0.0</c:v>
                </c:pt>
                <c:pt idx="1">
                  <c:v>0.0</c:v>
                </c:pt>
                <c:pt idx="2">
                  <c:v>0.0</c:v>
                </c:pt>
                <c:pt idx="3">
                  <c:v>0.0</c:v>
                </c:pt>
              </c:numCache>
            </c:numRef>
          </c:val>
        </c:ser>
        <c:ser>
          <c:idx val="5"/>
          <c:order val="5"/>
          <c:tx>
            <c:strRef>
              <c:f>[2]Figure10!$H$63</c:f>
              <c:strCache>
                <c:ptCount val="1"/>
                <c:pt idx="0">
                  <c:v>#REF!</c:v>
                </c:pt>
              </c:strCache>
            </c:strRef>
          </c:tx>
          <c:invertIfNegative val="0"/>
          <c:cat>
            <c:multiLvlStrRef>
              <c:f>[2]Figure10!$A$64:$B$67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[2]Figure10!$H$64:$H$67</c:f>
              <c:numCache>
                <c:formatCode>General</c:formatCode>
                <c:ptCount val="4"/>
                <c:pt idx="0">
                  <c:v>0.0</c:v>
                </c:pt>
                <c:pt idx="1">
                  <c:v>0.0</c:v>
                </c:pt>
                <c:pt idx="2">
                  <c:v>0.0</c:v>
                </c:pt>
                <c:pt idx="3">
                  <c:v>0.0</c:v>
                </c:pt>
              </c:numCache>
            </c:numRef>
          </c:val>
        </c:ser>
        <c:ser>
          <c:idx val="6"/>
          <c:order val="6"/>
          <c:tx>
            <c:strRef>
              <c:f>[2]Figure10!$I$63</c:f>
              <c:strCache>
                <c:ptCount val="1"/>
                <c:pt idx="0">
                  <c:v>#REF!</c:v>
                </c:pt>
              </c:strCache>
            </c:strRef>
          </c:tx>
          <c:invertIfNegative val="0"/>
          <c:cat>
            <c:multiLvlStrRef>
              <c:f>[2]Figure10!$A$64:$B$67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[2]Figure10!$I$64:$I$67</c:f>
              <c:numCache>
                <c:formatCode>General</c:formatCode>
                <c:ptCount val="4"/>
                <c:pt idx="0">
                  <c:v>0.0</c:v>
                </c:pt>
                <c:pt idx="1">
                  <c:v>0.0</c:v>
                </c:pt>
                <c:pt idx="2">
                  <c:v>0.0</c:v>
                </c:pt>
                <c:pt idx="3">
                  <c:v>0.0</c:v>
                </c:pt>
              </c:numCache>
            </c:numRef>
          </c:val>
        </c:ser>
        <c:ser>
          <c:idx val="7"/>
          <c:order val="7"/>
          <c:tx>
            <c:strRef>
              <c:f>[2]Figure10!$J$63</c:f>
              <c:strCache>
                <c:ptCount val="1"/>
                <c:pt idx="0">
                  <c:v>#REF!</c:v>
                </c:pt>
              </c:strCache>
            </c:strRef>
          </c:tx>
          <c:invertIfNegative val="0"/>
          <c:cat>
            <c:multiLvlStrRef>
              <c:f>[2]Figure10!$A$64:$B$67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[2]Figure10!$J$64:$J$67</c:f>
              <c:numCache>
                <c:formatCode>General</c:formatCode>
                <c:ptCount val="4"/>
                <c:pt idx="0">
                  <c:v>0.0</c:v>
                </c:pt>
                <c:pt idx="1">
                  <c:v>0.0</c:v>
                </c:pt>
                <c:pt idx="2">
                  <c:v>0.0</c:v>
                </c:pt>
                <c:pt idx="3">
                  <c:v>0.0</c:v>
                </c:pt>
              </c:numCache>
            </c:numRef>
          </c:val>
        </c:ser>
        <c:ser>
          <c:idx val="8"/>
          <c:order val="8"/>
          <c:tx>
            <c:strRef>
              <c:f>[2]Figure10!$K$63</c:f>
              <c:strCache>
                <c:ptCount val="1"/>
                <c:pt idx="0">
                  <c:v>#REF!</c:v>
                </c:pt>
              </c:strCache>
            </c:strRef>
          </c:tx>
          <c:invertIfNegative val="0"/>
          <c:cat>
            <c:multiLvlStrRef>
              <c:f>[2]Figure10!$A$64:$B$67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[2]Figure10!$K$64:$K$67</c:f>
              <c:numCache>
                <c:formatCode>General</c:formatCode>
                <c:ptCount val="4"/>
                <c:pt idx="0">
                  <c:v>0.0</c:v>
                </c:pt>
                <c:pt idx="1">
                  <c:v>0.0</c:v>
                </c:pt>
                <c:pt idx="2">
                  <c:v>0.0</c:v>
                </c:pt>
                <c:pt idx="3">
                  <c:v>0.0</c:v>
                </c:pt>
              </c:numCache>
            </c:numRef>
          </c:val>
        </c:ser>
        <c:ser>
          <c:idx val="9"/>
          <c:order val="9"/>
          <c:tx>
            <c:strRef>
              <c:f>[2]Figure10!$L$63</c:f>
              <c:strCache>
                <c:ptCount val="1"/>
                <c:pt idx="0">
                  <c:v>#REF!</c:v>
                </c:pt>
              </c:strCache>
            </c:strRef>
          </c:tx>
          <c:invertIfNegative val="0"/>
          <c:cat>
            <c:multiLvlStrRef>
              <c:f>[2]Figure10!$A$64:$B$67</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[2]Figure10!$L$64:$L$67</c:f>
              <c:numCache>
                <c:formatCode>General</c:formatCode>
                <c:ptCount val="4"/>
                <c:pt idx="0">
                  <c:v>0.0</c:v>
                </c:pt>
                <c:pt idx="1">
                  <c:v>0.0</c:v>
                </c:pt>
                <c:pt idx="2">
                  <c:v>0.0</c:v>
                </c:pt>
                <c:pt idx="3">
                  <c:v>0.0</c:v>
                </c:pt>
              </c:numCache>
            </c:numRef>
          </c:val>
        </c:ser>
        <c:dLbls>
          <c:showLegendKey val="0"/>
          <c:showVal val="0"/>
          <c:showCatName val="0"/>
          <c:showSerName val="0"/>
          <c:showPercent val="0"/>
          <c:showBubbleSize val="0"/>
        </c:dLbls>
        <c:gapWidth val="150"/>
        <c:overlap val="100"/>
        <c:axId val="2078845664"/>
        <c:axId val="2079750432"/>
      </c:barChart>
      <c:catAx>
        <c:axId val="2078845664"/>
        <c:scaling>
          <c:orientation val="minMax"/>
        </c:scaling>
        <c:delete val="0"/>
        <c:axPos val="r"/>
        <c:numFmt formatCode="General" sourceLinked="1"/>
        <c:majorTickMark val="out"/>
        <c:minorTickMark val="none"/>
        <c:tickLblPos val="nextTo"/>
        <c:txPr>
          <a:bodyPr/>
          <a:lstStyle/>
          <a:p>
            <a:pPr>
              <a:defRPr lang="da-DK"/>
            </a:pPr>
            <a:endParaRPr lang="en-US"/>
          </a:p>
        </c:txPr>
        <c:crossAx val="2079750432"/>
        <c:crosses val="autoZero"/>
        <c:auto val="1"/>
        <c:lblAlgn val="ctr"/>
        <c:lblOffset val="100"/>
        <c:noMultiLvlLbl val="0"/>
      </c:catAx>
      <c:valAx>
        <c:axId val="2079750432"/>
        <c:scaling>
          <c:orientation val="maxMin"/>
        </c:scaling>
        <c:delete val="0"/>
        <c:axPos val="b"/>
        <c:majorGridlines/>
        <c:numFmt formatCode="General" sourceLinked="1"/>
        <c:majorTickMark val="out"/>
        <c:minorTickMark val="none"/>
        <c:tickLblPos val="nextTo"/>
        <c:txPr>
          <a:bodyPr/>
          <a:lstStyle/>
          <a:p>
            <a:pPr>
              <a:defRPr lang="da-DK"/>
            </a:pPr>
            <a:endParaRPr lang="en-US"/>
          </a:p>
        </c:txPr>
        <c:crossAx val="2078845664"/>
        <c:crosses val="autoZero"/>
        <c:crossBetween val="between"/>
      </c:valAx>
    </c:plotArea>
    <c:legend>
      <c:legendPos val="l"/>
      <c:layout/>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[2]Figure10!$P$92</c:f>
              <c:strCache>
                <c:ptCount val="1"/>
                <c:pt idx="0">
                  <c:v>#REF!</c:v>
                </c:pt>
              </c:strCache>
            </c:strRef>
          </c:tx>
          <c:invertIfNegative val="0"/>
          <c:cat>
            <c:multiLvlStrRef>
              <c:f>[2]Figure10!$N$93:$O$96</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[2]Figure10!$P$93:$P$96</c:f>
              <c:numCache>
                <c:formatCode>General</c:formatCode>
                <c:ptCount val="4"/>
                <c:pt idx="0">
                  <c:v>0.0</c:v>
                </c:pt>
                <c:pt idx="1">
                  <c:v>0.0</c:v>
                </c:pt>
                <c:pt idx="2">
                  <c:v>0.0</c:v>
                </c:pt>
                <c:pt idx="3">
                  <c:v>0.0</c:v>
                </c:pt>
              </c:numCache>
            </c:numRef>
          </c:val>
        </c:ser>
        <c:ser>
          <c:idx val="1"/>
          <c:order val="1"/>
          <c:tx>
            <c:strRef>
              <c:f>[2]Figure10!$Q$92</c:f>
              <c:strCache>
                <c:ptCount val="1"/>
                <c:pt idx="0">
                  <c:v>#REF!</c:v>
                </c:pt>
              </c:strCache>
            </c:strRef>
          </c:tx>
          <c:invertIfNegative val="0"/>
          <c:cat>
            <c:multiLvlStrRef>
              <c:f>[2]Figure10!$N$93:$O$96</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[2]Figure10!$Q$93:$Q$96</c:f>
              <c:numCache>
                <c:formatCode>General</c:formatCode>
                <c:ptCount val="4"/>
                <c:pt idx="0">
                  <c:v>0.0</c:v>
                </c:pt>
                <c:pt idx="1">
                  <c:v>0.0</c:v>
                </c:pt>
                <c:pt idx="2">
                  <c:v>0.0</c:v>
                </c:pt>
                <c:pt idx="3">
                  <c:v>0.0</c:v>
                </c:pt>
              </c:numCache>
            </c:numRef>
          </c:val>
        </c:ser>
        <c:ser>
          <c:idx val="2"/>
          <c:order val="2"/>
          <c:tx>
            <c:strRef>
              <c:f>[2]Figure10!$R$92</c:f>
              <c:strCache>
                <c:ptCount val="1"/>
                <c:pt idx="0">
                  <c:v>#REF!</c:v>
                </c:pt>
              </c:strCache>
            </c:strRef>
          </c:tx>
          <c:invertIfNegative val="0"/>
          <c:cat>
            <c:multiLvlStrRef>
              <c:f>[2]Figure10!$N$93:$O$96</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[2]Figure10!$R$93:$R$96</c:f>
              <c:numCache>
                <c:formatCode>General</c:formatCode>
                <c:ptCount val="4"/>
                <c:pt idx="0">
                  <c:v>0.0</c:v>
                </c:pt>
                <c:pt idx="1">
                  <c:v>0.0</c:v>
                </c:pt>
                <c:pt idx="2">
                  <c:v>0.0</c:v>
                </c:pt>
                <c:pt idx="3">
                  <c:v>0.0</c:v>
                </c:pt>
              </c:numCache>
            </c:numRef>
          </c:val>
        </c:ser>
        <c:ser>
          <c:idx val="3"/>
          <c:order val="3"/>
          <c:tx>
            <c:strRef>
              <c:f>[2]Figure10!$S$92</c:f>
              <c:strCache>
                <c:ptCount val="1"/>
                <c:pt idx="0">
                  <c:v>#REF!</c:v>
                </c:pt>
              </c:strCache>
            </c:strRef>
          </c:tx>
          <c:invertIfNegative val="0"/>
          <c:cat>
            <c:multiLvlStrRef>
              <c:f>[2]Figure10!$N$93:$O$96</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[2]Figure10!$S$93:$S$96</c:f>
              <c:numCache>
                <c:formatCode>General</c:formatCode>
                <c:ptCount val="4"/>
                <c:pt idx="0">
                  <c:v>0.0</c:v>
                </c:pt>
                <c:pt idx="1">
                  <c:v>0.0</c:v>
                </c:pt>
                <c:pt idx="2">
                  <c:v>0.0</c:v>
                </c:pt>
                <c:pt idx="3">
                  <c:v>0.0</c:v>
                </c:pt>
              </c:numCache>
            </c:numRef>
          </c:val>
        </c:ser>
        <c:ser>
          <c:idx val="4"/>
          <c:order val="4"/>
          <c:tx>
            <c:strRef>
              <c:f>[2]Figure10!$T$92</c:f>
              <c:strCache>
                <c:ptCount val="1"/>
                <c:pt idx="0">
                  <c:v>#REF!</c:v>
                </c:pt>
              </c:strCache>
            </c:strRef>
          </c:tx>
          <c:invertIfNegative val="0"/>
          <c:cat>
            <c:multiLvlStrRef>
              <c:f>[2]Figure10!$N$93:$O$96</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[2]Figure10!$T$93:$T$96</c:f>
              <c:numCache>
                <c:formatCode>General</c:formatCode>
                <c:ptCount val="4"/>
                <c:pt idx="0">
                  <c:v>0.0</c:v>
                </c:pt>
                <c:pt idx="1">
                  <c:v>0.0</c:v>
                </c:pt>
                <c:pt idx="2">
                  <c:v>0.0</c:v>
                </c:pt>
                <c:pt idx="3">
                  <c:v>0.0</c:v>
                </c:pt>
              </c:numCache>
            </c:numRef>
          </c:val>
        </c:ser>
        <c:ser>
          <c:idx val="5"/>
          <c:order val="5"/>
          <c:tx>
            <c:strRef>
              <c:f>[2]Figure10!$U$92</c:f>
              <c:strCache>
                <c:ptCount val="1"/>
                <c:pt idx="0">
                  <c:v>#REF!</c:v>
                </c:pt>
              </c:strCache>
            </c:strRef>
          </c:tx>
          <c:invertIfNegative val="0"/>
          <c:cat>
            <c:multiLvlStrRef>
              <c:f>[2]Figure10!$N$93:$O$96</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[2]Figure10!$U$93:$U$96</c:f>
              <c:numCache>
                <c:formatCode>General</c:formatCode>
                <c:ptCount val="4"/>
                <c:pt idx="0">
                  <c:v>0.0</c:v>
                </c:pt>
                <c:pt idx="1">
                  <c:v>0.0</c:v>
                </c:pt>
                <c:pt idx="2">
                  <c:v>0.0</c:v>
                </c:pt>
                <c:pt idx="3">
                  <c:v>0.0</c:v>
                </c:pt>
              </c:numCache>
            </c:numRef>
          </c:val>
        </c:ser>
        <c:ser>
          <c:idx val="6"/>
          <c:order val="6"/>
          <c:tx>
            <c:strRef>
              <c:f>[2]Figure10!$V$92</c:f>
              <c:strCache>
                <c:ptCount val="1"/>
                <c:pt idx="0">
                  <c:v>#REF!</c:v>
                </c:pt>
              </c:strCache>
            </c:strRef>
          </c:tx>
          <c:invertIfNegative val="0"/>
          <c:cat>
            <c:multiLvlStrRef>
              <c:f>[2]Figure10!$N$93:$O$96</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[2]Figure10!$V$93:$V$96</c:f>
              <c:numCache>
                <c:formatCode>General</c:formatCode>
                <c:ptCount val="4"/>
                <c:pt idx="0">
                  <c:v>0.0</c:v>
                </c:pt>
                <c:pt idx="1">
                  <c:v>0.0</c:v>
                </c:pt>
                <c:pt idx="2">
                  <c:v>0.0</c:v>
                </c:pt>
                <c:pt idx="3">
                  <c:v>0.0</c:v>
                </c:pt>
              </c:numCache>
            </c:numRef>
          </c:val>
        </c:ser>
        <c:ser>
          <c:idx val="7"/>
          <c:order val="7"/>
          <c:tx>
            <c:strRef>
              <c:f>[2]Figure10!$W$92</c:f>
              <c:strCache>
                <c:ptCount val="1"/>
                <c:pt idx="0">
                  <c:v>#REF!</c:v>
                </c:pt>
              </c:strCache>
            </c:strRef>
          </c:tx>
          <c:invertIfNegative val="0"/>
          <c:cat>
            <c:multiLvlStrRef>
              <c:f>[2]Figure10!$N$93:$O$96</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[2]Figure10!$W$93:$W$96</c:f>
              <c:numCache>
                <c:formatCode>General</c:formatCode>
                <c:ptCount val="4"/>
                <c:pt idx="0">
                  <c:v>0.0</c:v>
                </c:pt>
                <c:pt idx="1">
                  <c:v>0.0</c:v>
                </c:pt>
                <c:pt idx="2">
                  <c:v>0.0</c:v>
                </c:pt>
                <c:pt idx="3">
                  <c:v>0.0</c:v>
                </c:pt>
              </c:numCache>
            </c:numRef>
          </c:val>
        </c:ser>
        <c:ser>
          <c:idx val="8"/>
          <c:order val="8"/>
          <c:tx>
            <c:strRef>
              <c:f>[2]Figure10!$X$92</c:f>
              <c:strCache>
                <c:ptCount val="1"/>
                <c:pt idx="0">
                  <c:v>#REF!</c:v>
                </c:pt>
              </c:strCache>
            </c:strRef>
          </c:tx>
          <c:invertIfNegative val="0"/>
          <c:cat>
            <c:multiLvlStrRef>
              <c:f>[2]Figure10!$N$93:$O$96</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[2]Figure10!$X$93:$X$96</c:f>
              <c:numCache>
                <c:formatCode>General</c:formatCode>
                <c:ptCount val="4"/>
                <c:pt idx="0">
                  <c:v>0.0</c:v>
                </c:pt>
                <c:pt idx="1">
                  <c:v>0.0</c:v>
                </c:pt>
                <c:pt idx="2">
                  <c:v>0.0</c:v>
                </c:pt>
                <c:pt idx="3">
                  <c:v>0.0</c:v>
                </c:pt>
              </c:numCache>
            </c:numRef>
          </c:val>
        </c:ser>
        <c:ser>
          <c:idx val="9"/>
          <c:order val="9"/>
          <c:tx>
            <c:strRef>
              <c:f>[2]Figure10!$Y$92</c:f>
              <c:strCache>
                <c:ptCount val="1"/>
                <c:pt idx="0">
                  <c:v>#REF!</c:v>
                </c:pt>
              </c:strCache>
            </c:strRef>
          </c:tx>
          <c:invertIfNegative val="0"/>
          <c:cat>
            <c:multiLvlStrRef>
              <c:f>[2]Figure10!$N$93:$O$96</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[2]Figure10!$Y$93:$Y$96</c:f>
              <c:numCache>
                <c:formatCode>General</c:formatCode>
                <c:ptCount val="4"/>
                <c:pt idx="0">
                  <c:v>0.0</c:v>
                </c:pt>
                <c:pt idx="1">
                  <c:v>0.0</c:v>
                </c:pt>
                <c:pt idx="2">
                  <c:v>0.0</c:v>
                </c:pt>
                <c:pt idx="3">
                  <c:v>0.0</c:v>
                </c:pt>
              </c:numCache>
            </c:numRef>
          </c:val>
        </c:ser>
        <c:dLbls>
          <c:showLegendKey val="0"/>
          <c:showVal val="0"/>
          <c:showCatName val="0"/>
          <c:showSerName val="0"/>
          <c:showPercent val="0"/>
          <c:showBubbleSize val="0"/>
        </c:dLbls>
        <c:gapWidth val="150"/>
        <c:overlap val="100"/>
        <c:axId val="2078898112"/>
        <c:axId val="2078901120"/>
      </c:barChart>
      <c:catAx>
        <c:axId val="2078898112"/>
        <c:scaling>
          <c:orientation val="minMax"/>
        </c:scaling>
        <c:delete val="0"/>
        <c:axPos val="l"/>
        <c:numFmt formatCode="General" sourceLinked="0"/>
        <c:majorTickMark val="out"/>
        <c:minorTickMark val="none"/>
        <c:tickLblPos val="nextTo"/>
        <c:txPr>
          <a:bodyPr/>
          <a:lstStyle/>
          <a:p>
            <a:pPr>
              <a:defRPr lang="da-DK"/>
            </a:pPr>
            <a:endParaRPr lang="en-US"/>
          </a:p>
        </c:txPr>
        <c:crossAx val="2078901120"/>
        <c:crosses val="autoZero"/>
        <c:auto val="1"/>
        <c:lblAlgn val="ctr"/>
        <c:lblOffset val="100"/>
        <c:noMultiLvlLbl val="0"/>
      </c:catAx>
      <c:valAx>
        <c:axId val="2078901120"/>
        <c:scaling>
          <c:orientation val="minMax"/>
        </c:scaling>
        <c:delete val="0"/>
        <c:axPos val="b"/>
        <c:majorGridlines/>
        <c:numFmt formatCode="General" sourceLinked="1"/>
        <c:majorTickMark val="out"/>
        <c:minorTickMark val="none"/>
        <c:tickLblPos val="nextTo"/>
        <c:txPr>
          <a:bodyPr/>
          <a:lstStyle/>
          <a:p>
            <a:pPr>
              <a:defRPr lang="da-DK"/>
            </a:pPr>
            <a:endParaRPr lang="en-US"/>
          </a:p>
        </c:txPr>
        <c:crossAx val="2078898112"/>
        <c:crosses val="autoZero"/>
        <c:crossBetween val="between"/>
      </c:valAx>
    </c:plotArea>
    <c:legend>
      <c:legendPos val="r"/>
      <c:layout>
        <c:manualLayout>
          <c:xMode val="edge"/>
          <c:yMode val="edge"/>
          <c:x val="0.780667934202364"/>
          <c:y val="0.0884185982251175"/>
          <c:w val="0.198741557827052"/>
          <c:h val="0.724403025892693"/>
        </c:manualLayout>
      </c:layout>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[1]Figure10!$C$173</c:f>
              <c:strCache>
                <c:ptCount val="1"/>
                <c:pt idx="0">
                  <c:v>#REF!</c:v>
                </c:pt>
              </c:strCache>
            </c:strRef>
          </c:tx>
          <c:invertIfNegative val="0"/>
          <c:cat>
            <c:numRef>
              <c:f>[1]Figure10!$A$174:$A$177</c:f>
              <c:numCache>
                <c:formatCode>General</c:formatCode>
                <c:ptCount val="4"/>
                <c:pt idx="0">
                  <c:v>0.0</c:v>
                </c:pt>
                <c:pt idx="1">
                  <c:v>0.0</c:v>
                </c:pt>
                <c:pt idx="2">
                  <c:v>0.0</c:v>
                </c:pt>
                <c:pt idx="3">
                  <c:v>0.0</c:v>
                </c:pt>
              </c:numCache>
            </c:numRef>
          </c:cat>
          <c:val>
            <c:numRef>
              <c:f>[1]Figure10!$C$174:$C$177</c:f>
              <c:numCache>
                <c:formatCode>General</c:formatCode>
                <c:ptCount val="4"/>
                <c:pt idx="0">
                  <c:v>0.0</c:v>
                </c:pt>
                <c:pt idx="1">
                  <c:v>0.0</c:v>
                </c:pt>
                <c:pt idx="2">
                  <c:v>0.0</c:v>
                </c:pt>
                <c:pt idx="3">
                  <c:v>0.0</c:v>
                </c:pt>
              </c:numCache>
            </c:numRef>
          </c:val>
        </c:ser>
        <c:ser>
          <c:idx val="1"/>
          <c:order val="1"/>
          <c:tx>
            <c:strRef>
              <c:f>[1]Figure10!$D$173</c:f>
              <c:strCache>
                <c:ptCount val="1"/>
                <c:pt idx="0">
                  <c:v>#REF!</c:v>
                </c:pt>
              </c:strCache>
            </c:strRef>
          </c:tx>
          <c:invertIfNegative val="0"/>
          <c:cat>
            <c:numRef>
              <c:f>[1]Figure10!$A$174:$A$177</c:f>
              <c:numCache>
                <c:formatCode>General</c:formatCode>
                <c:ptCount val="4"/>
                <c:pt idx="0">
                  <c:v>0.0</c:v>
                </c:pt>
                <c:pt idx="1">
                  <c:v>0.0</c:v>
                </c:pt>
                <c:pt idx="2">
                  <c:v>0.0</c:v>
                </c:pt>
                <c:pt idx="3">
                  <c:v>0.0</c:v>
                </c:pt>
              </c:numCache>
            </c:numRef>
          </c:cat>
          <c:val>
            <c:numRef>
              <c:f>[1]Figure10!$D$174:$D$177</c:f>
              <c:numCache>
                <c:formatCode>General</c:formatCode>
                <c:ptCount val="4"/>
                <c:pt idx="0">
                  <c:v>0.0</c:v>
                </c:pt>
                <c:pt idx="1">
                  <c:v>0.0</c:v>
                </c:pt>
                <c:pt idx="2">
                  <c:v>0.0</c:v>
                </c:pt>
                <c:pt idx="3">
                  <c:v>0.0</c:v>
                </c:pt>
              </c:numCache>
            </c:numRef>
          </c:val>
        </c:ser>
        <c:ser>
          <c:idx val="2"/>
          <c:order val="2"/>
          <c:tx>
            <c:strRef>
              <c:f>[1]Figure10!$E$173</c:f>
              <c:strCache>
                <c:ptCount val="1"/>
                <c:pt idx="0">
                  <c:v>#REF!</c:v>
                </c:pt>
              </c:strCache>
            </c:strRef>
          </c:tx>
          <c:invertIfNegative val="0"/>
          <c:cat>
            <c:numRef>
              <c:f>[1]Figure10!$A$174:$A$177</c:f>
              <c:numCache>
                <c:formatCode>General</c:formatCode>
                <c:ptCount val="4"/>
                <c:pt idx="0">
                  <c:v>0.0</c:v>
                </c:pt>
                <c:pt idx="1">
                  <c:v>0.0</c:v>
                </c:pt>
                <c:pt idx="2">
                  <c:v>0.0</c:v>
                </c:pt>
                <c:pt idx="3">
                  <c:v>0.0</c:v>
                </c:pt>
              </c:numCache>
            </c:numRef>
          </c:cat>
          <c:val>
            <c:numRef>
              <c:f>[1]Figure10!$E$174:$E$177</c:f>
              <c:numCache>
                <c:formatCode>General</c:formatCode>
                <c:ptCount val="4"/>
                <c:pt idx="0">
                  <c:v>0.0</c:v>
                </c:pt>
                <c:pt idx="1">
                  <c:v>0.0</c:v>
                </c:pt>
                <c:pt idx="2">
                  <c:v>0.0</c:v>
                </c:pt>
                <c:pt idx="3">
                  <c:v>0.0</c:v>
                </c:pt>
              </c:numCache>
            </c:numRef>
          </c:val>
        </c:ser>
        <c:ser>
          <c:idx val="3"/>
          <c:order val="3"/>
          <c:tx>
            <c:strRef>
              <c:f>[1]Figure10!$F$173</c:f>
              <c:strCache>
                <c:ptCount val="1"/>
                <c:pt idx="0">
                  <c:v>#REF!</c:v>
                </c:pt>
              </c:strCache>
            </c:strRef>
          </c:tx>
          <c:invertIfNegative val="0"/>
          <c:cat>
            <c:numRef>
              <c:f>[1]Figure10!$A$174:$A$177</c:f>
              <c:numCache>
                <c:formatCode>General</c:formatCode>
                <c:ptCount val="4"/>
                <c:pt idx="0">
                  <c:v>0.0</c:v>
                </c:pt>
                <c:pt idx="1">
                  <c:v>0.0</c:v>
                </c:pt>
                <c:pt idx="2">
                  <c:v>0.0</c:v>
                </c:pt>
                <c:pt idx="3">
                  <c:v>0.0</c:v>
                </c:pt>
              </c:numCache>
            </c:numRef>
          </c:cat>
          <c:val>
            <c:numRef>
              <c:f>[1]Figure10!$F$174:$F$177</c:f>
              <c:numCache>
                <c:formatCode>General</c:formatCode>
                <c:ptCount val="4"/>
                <c:pt idx="0">
                  <c:v>0.0</c:v>
                </c:pt>
                <c:pt idx="1">
                  <c:v>0.0</c:v>
                </c:pt>
                <c:pt idx="2">
                  <c:v>0.0</c:v>
                </c:pt>
                <c:pt idx="3">
                  <c:v>0.0</c:v>
                </c:pt>
              </c:numCache>
            </c:numRef>
          </c:val>
        </c:ser>
        <c:ser>
          <c:idx val="4"/>
          <c:order val="4"/>
          <c:tx>
            <c:strRef>
              <c:f>[1]Figure10!$G$173</c:f>
              <c:strCache>
                <c:ptCount val="1"/>
                <c:pt idx="0">
                  <c:v>#REF!</c:v>
                </c:pt>
              </c:strCache>
            </c:strRef>
          </c:tx>
          <c:invertIfNegative val="0"/>
          <c:cat>
            <c:numRef>
              <c:f>[1]Figure10!$A$174:$A$177</c:f>
              <c:numCache>
                <c:formatCode>General</c:formatCode>
                <c:ptCount val="4"/>
                <c:pt idx="0">
                  <c:v>0.0</c:v>
                </c:pt>
                <c:pt idx="1">
                  <c:v>0.0</c:v>
                </c:pt>
                <c:pt idx="2">
                  <c:v>0.0</c:v>
                </c:pt>
                <c:pt idx="3">
                  <c:v>0.0</c:v>
                </c:pt>
              </c:numCache>
            </c:numRef>
          </c:cat>
          <c:val>
            <c:numRef>
              <c:f>[1]Figure10!$G$174:$G$177</c:f>
              <c:numCache>
                <c:formatCode>General</c:formatCode>
                <c:ptCount val="4"/>
                <c:pt idx="0">
                  <c:v>0.0</c:v>
                </c:pt>
                <c:pt idx="1">
                  <c:v>0.0</c:v>
                </c:pt>
                <c:pt idx="2">
                  <c:v>0.0</c:v>
                </c:pt>
                <c:pt idx="3">
                  <c:v>0.0</c:v>
                </c:pt>
              </c:numCache>
            </c:numRef>
          </c:val>
        </c:ser>
        <c:ser>
          <c:idx val="5"/>
          <c:order val="5"/>
          <c:tx>
            <c:strRef>
              <c:f>[1]Figure10!$H$173</c:f>
              <c:strCache>
                <c:ptCount val="1"/>
                <c:pt idx="0">
                  <c:v>#REF!</c:v>
                </c:pt>
              </c:strCache>
            </c:strRef>
          </c:tx>
          <c:invertIfNegative val="0"/>
          <c:cat>
            <c:numRef>
              <c:f>[1]Figure10!$A$174:$A$177</c:f>
              <c:numCache>
                <c:formatCode>General</c:formatCode>
                <c:ptCount val="4"/>
                <c:pt idx="0">
                  <c:v>0.0</c:v>
                </c:pt>
                <c:pt idx="1">
                  <c:v>0.0</c:v>
                </c:pt>
                <c:pt idx="2">
                  <c:v>0.0</c:v>
                </c:pt>
                <c:pt idx="3">
                  <c:v>0.0</c:v>
                </c:pt>
              </c:numCache>
            </c:numRef>
          </c:cat>
          <c:val>
            <c:numRef>
              <c:f>[1]Figure10!$H$174:$H$177</c:f>
              <c:numCache>
                <c:formatCode>General</c:formatCode>
                <c:ptCount val="4"/>
                <c:pt idx="0">
                  <c:v>0.0</c:v>
                </c:pt>
                <c:pt idx="1">
                  <c:v>0.0</c:v>
                </c:pt>
                <c:pt idx="2">
                  <c:v>0.0</c:v>
                </c:pt>
                <c:pt idx="3">
                  <c:v>0.0</c:v>
                </c:pt>
              </c:numCache>
            </c:numRef>
          </c:val>
        </c:ser>
        <c:ser>
          <c:idx val="6"/>
          <c:order val="6"/>
          <c:tx>
            <c:strRef>
              <c:f>[1]Figure10!$I$173</c:f>
              <c:strCache>
                <c:ptCount val="1"/>
                <c:pt idx="0">
                  <c:v>#REF!</c:v>
                </c:pt>
              </c:strCache>
            </c:strRef>
          </c:tx>
          <c:invertIfNegative val="0"/>
          <c:cat>
            <c:numRef>
              <c:f>[1]Figure10!$A$174:$A$177</c:f>
              <c:numCache>
                <c:formatCode>General</c:formatCode>
                <c:ptCount val="4"/>
                <c:pt idx="0">
                  <c:v>0.0</c:v>
                </c:pt>
                <c:pt idx="1">
                  <c:v>0.0</c:v>
                </c:pt>
                <c:pt idx="2">
                  <c:v>0.0</c:v>
                </c:pt>
                <c:pt idx="3">
                  <c:v>0.0</c:v>
                </c:pt>
              </c:numCache>
            </c:numRef>
          </c:cat>
          <c:val>
            <c:numRef>
              <c:f>[1]Figure10!$I$174:$I$177</c:f>
              <c:numCache>
                <c:formatCode>General</c:formatCode>
                <c:ptCount val="4"/>
                <c:pt idx="0">
                  <c:v>0.0</c:v>
                </c:pt>
                <c:pt idx="1">
                  <c:v>0.0</c:v>
                </c:pt>
                <c:pt idx="2">
                  <c:v>0.0</c:v>
                </c:pt>
                <c:pt idx="3">
                  <c:v>0.0</c:v>
                </c:pt>
              </c:numCache>
            </c:numRef>
          </c:val>
        </c:ser>
        <c:ser>
          <c:idx val="7"/>
          <c:order val="7"/>
          <c:tx>
            <c:strRef>
              <c:f>[1]Figure10!$J$173</c:f>
              <c:strCache>
                <c:ptCount val="1"/>
                <c:pt idx="0">
                  <c:v>#REF!</c:v>
                </c:pt>
              </c:strCache>
            </c:strRef>
          </c:tx>
          <c:invertIfNegative val="0"/>
          <c:cat>
            <c:numRef>
              <c:f>[1]Figure10!$A$174:$A$177</c:f>
              <c:numCache>
                <c:formatCode>General</c:formatCode>
                <c:ptCount val="4"/>
                <c:pt idx="0">
                  <c:v>0.0</c:v>
                </c:pt>
                <c:pt idx="1">
                  <c:v>0.0</c:v>
                </c:pt>
                <c:pt idx="2">
                  <c:v>0.0</c:v>
                </c:pt>
                <c:pt idx="3">
                  <c:v>0.0</c:v>
                </c:pt>
              </c:numCache>
            </c:numRef>
          </c:cat>
          <c:val>
            <c:numRef>
              <c:f>[1]Figure10!$J$174:$J$177</c:f>
              <c:numCache>
                <c:formatCode>General</c:formatCode>
                <c:ptCount val="4"/>
                <c:pt idx="0">
                  <c:v>0.0</c:v>
                </c:pt>
                <c:pt idx="1">
                  <c:v>0.0</c:v>
                </c:pt>
                <c:pt idx="2">
                  <c:v>0.0</c:v>
                </c:pt>
                <c:pt idx="3">
                  <c:v>0.0</c:v>
                </c:pt>
              </c:numCache>
            </c:numRef>
          </c:val>
        </c:ser>
        <c:ser>
          <c:idx val="8"/>
          <c:order val="8"/>
          <c:tx>
            <c:strRef>
              <c:f>[1]Figure10!$K$173</c:f>
              <c:strCache>
                <c:ptCount val="1"/>
                <c:pt idx="0">
                  <c:v>#REF!</c:v>
                </c:pt>
              </c:strCache>
            </c:strRef>
          </c:tx>
          <c:invertIfNegative val="0"/>
          <c:cat>
            <c:numRef>
              <c:f>[1]Figure10!$A$174:$A$177</c:f>
              <c:numCache>
                <c:formatCode>General</c:formatCode>
                <c:ptCount val="4"/>
                <c:pt idx="0">
                  <c:v>0.0</c:v>
                </c:pt>
                <c:pt idx="1">
                  <c:v>0.0</c:v>
                </c:pt>
                <c:pt idx="2">
                  <c:v>0.0</c:v>
                </c:pt>
                <c:pt idx="3">
                  <c:v>0.0</c:v>
                </c:pt>
              </c:numCache>
            </c:numRef>
          </c:cat>
          <c:val>
            <c:numRef>
              <c:f>[1]Figure10!$K$174:$K$177</c:f>
              <c:numCache>
                <c:formatCode>General</c:formatCode>
                <c:ptCount val="4"/>
                <c:pt idx="0">
                  <c:v>0.0</c:v>
                </c:pt>
                <c:pt idx="1">
                  <c:v>0.0</c:v>
                </c:pt>
                <c:pt idx="2">
                  <c:v>0.0</c:v>
                </c:pt>
                <c:pt idx="3">
                  <c:v>0.0</c:v>
                </c:pt>
              </c:numCache>
            </c:numRef>
          </c:val>
        </c:ser>
        <c:ser>
          <c:idx val="9"/>
          <c:order val="9"/>
          <c:tx>
            <c:strRef>
              <c:f>[1]Figure10!$L$173</c:f>
              <c:strCache>
                <c:ptCount val="1"/>
                <c:pt idx="0">
                  <c:v>#REF!</c:v>
                </c:pt>
              </c:strCache>
            </c:strRef>
          </c:tx>
          <c:invertIfNegative val="0"/>
          <c:cat>
            <c:numRef>
              <c:f>[1]Figure10!$A$174:$A$177</c:f>
              <c:numCache>
                <c:formatCode>General</c:formatCode>
                <c:ptCount val="4"/>
                <c:pt idx="0">
                  <c:v>0.0</c:v>
                </c:pt>
                <c:pt idx="1">
                  <c:v>0.0</c:v>
                </c:pt>
                <c:pt idx="2">
                  <c:v>0.0</c:v>
                </c:pt>
                <c:pt idx="3">
                  <c:v>0.0</c:v>
                </c:pt>
              </c:numCache>
            </c:numRef>
          </c:cat>
          <c:val>
            <c:numRef>
              <c:f>[1]Figure10!$L$174:$L$177</c:f>
              <c:numCache>
                <c:formatCode>General</c:formatCode>
                <c:ptCount val="4"/>
                <c:pt idx="0">
                  <c:v>0.0</c:v>
                </c:pt>
                <c:pt idx="1">
                  <c:v>0.0</c:v>
                </c:pt>
                <c:pt idx="2">
                  <c:v>0.0</c:v>
                </c:pt>
                <c:pt idx="3">
                  <c:v>0.0</c:v>
                </c:pt>
              </c:numCache>
            </c:numRef>
          </c:val>
        </c:ser>
        <c:dLbls>
          <c:showLegendKey val="0"/>
          <c:showVal val="0"/>
          <c:showCatName val="0"/>
          <c:showSerName val="0"/>
          <c:showPercent val="0"/>
          <c:showBubbleSize val="0"/>
        </c:dLbls>
        <c:gapWidth val="150"/>
        <c:overlap val="100"/>
        <c:axId val="2079858352"/>
        <c:axId val="2079861360"/>
      </c:barChart>
      <c:catAx>
        <c:axId val="2079858352"/>
        <c:scaling>
          <c:orientation val="minMax"/>
        </c:scaling>
        <c:delete val="0"/>
        <c:axPos val="r"/>
        <c:numFmt formatCode="General" sourceLinked="1"/>
        <c:majorTickMark val="out"/>
        <c:minorTickMark val="none"/>
        <c:tickLblPos val="nextTo"/>
        <c:txPr>
          <a:bodyPr/>
          <a:lstStyle/>
          <a:p>
            <a:pPr>
              <a:defRPr lang="da-DK"/>
            </a:pPr>
            <a:endParaRPr lang="en-US"/>
          </a:p>
        </c:txPr>
        <c:crossAx val="2079861360"/>
        <c:crosses val="autoZero"/>
        <c:auto val="1"/>
        <c:lblAlgn val="ctr"/>
        <c:lblOffset val="100"/>
        <c:noMultiLvlLbl val="0"/>
      </c:catAx>
      <c:valAx>
        <c:axId val="2079861360"/>
        <c:scaling>
          <c:orientation val="maxMin"/>
        </c:scaling>
        <c:delete val="0"/>
        <c:axPos val="b"/>
        <c:majorGridlines/>
        <c:numFmt formatCode="General" sourceLinked="1"/>
        <c:majorTickMark val="out"/>
        <c:minorTickMark val="none"/>
        <c:tickLblPos val="nextTo"/>
        <c:txPr>
          <a:bodyPr/>
          <a:lstStyle/>
          <a:p>
            <a:pPr>
              <a:defRPr lang="da-DK"/>
            </a:pPr>
            <a:endParaRPr lang="en-US"/>
          </a:p>
        </c:txPr>
        <c:crossAx val="2079858352"/>
        <c:crosses val="autoZero"/>
        <c:crossBetween val="between"/>
      </c:valAx>
    </c:plotArea>
    <c:legend>
      <c:legendPos val="l"/>
      <c:layout/>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[2]Figure10!$P$120</c:f>
              <c:strCache>
                <c:ptCount val="1"/>
                <c:pt idx="0">
                  <c:v>#REF!</c:v>
                </c:pt>
              </c:strCache>
            </c:strRef>
          </c:tx>
          <c:invertIfNegative val="0"/>
          <c:cat>
            <c:multiLvlStrRef>
              <c:f>[2]Figure10!$N$121:$O$124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[2]Figure10!$P$121:$P$124</c:f>
              <c:numCache>
                <c:formatCode>General</c:formatCode>
                <c:ptCount val="4"/>
                <c:pt idx="0">
                  <c:v>0.0</c:v>
                </c:pt>
                <c:pt idx="1">
                  <c:v>0.0</c:v>
                </c:pt>
                <c:pt idx="2">
                  <c:v>0.0</c:v>
                </c:pt>
                <c:pt idx="3">
                  <c:v>0.0</c:v>
                </c:pt>
              </c:numCache>
            </c:numRef>
          </c:val>
        </c:ser>
        <c:ser>
          <c:idx val="1"/>
          <c:order val="1"/>
          <c:tx>
            <c:strRef>
              <c:f>[2]Figure10!$Q$120</c:f>
              <c:strCache>
                <c:ptCount val="1"/>
                <c:pt idx="0">
                  <c:v>#REF!</c:v>
                </c:pt>
              </c:strCache>
            </c:strRef>
          </c:tx>
          <c:invertIfNegative val="0"/>
          <c:cat>
            <c:multiLvlStrRef>
              <c:f>[2]Figure10!$N$121:$O$124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[2]Figure10!$Q$121:$Q$124</c:f>
              <c:numCache>
                <c:formatCode>General</c:formatCode>
                <c:ptCount val="4"/>
                <c:pt idx="0">
                  <c:v>0.0</c:v>
                </c:pt>
                <c:pt idx="1">
                  <c:v>0.0</c:v>
                </c:pt>
                <c:pt idx="2">
                  <c:v>0.0</c:v>
                </c:pt>
                <c:pt idx="3">
                  <c:v>0.0</c:v>
                </c:pt>
              </c:numCache>
            </c:numRef>
          </c:val>
        </c:ser>
        <c:ser>
          <c:idx val="2"/>
          <c:order val="2"/>
          <c:tx>
            <c:strRef>
              <c:f>[2]Figure10!$R$120</c:f>
              <c:strCache>
                <c:ptCount val="1"/>
                <c:pt idx="0">
                  <c:v>#REF!</c:v>
                </c:pt>
              </c:strCache>
            </c:strRef>
          </c:tx>
          <c:invertIfNegative val="0"/>
          <c:cat>
            <c:multiLvlStrRef>
              <c:f>[2]Figure10!$N$121:$O$124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[2]Figure10!$R$121:$R$124</c:f>
              <c:numCache>
                <c:formatCode>General</c:formatCode>
                <c:ptCount val="4"/>
                <c:pt idx="0">
                  <c:v>0.0</c:v>
                </c:pt>
                <c:pt idx="1">
                  <c:v>0.0</c:v>
                </c:pt>
                <c:pt idx="2">
                  <c:v>0.0</c:v>
                </c:pt>
                <c:pt idx="3">
                  <c:v>0.0</c:v>
                </c:pt>
              </c:numCache>
            </c:numRef>
          </c:val>
        </c:ser>
        <c:ser>
          <c:idx val="3"/>
          <c:order val="3"/>
          <c:tx>
            <c:strRef>
              <c:f>[2]Figure10!$S$120</c:f>
              <c:strCache>
                <c:ptCount val="1"/>
                <c:pt idx="0">
                  <c:v>#REF!</c:v>
                </c:pt>
              </c:strCache>
            </c:strRef>
          </c:tx>
          <c:invertIfNegative val="0"/>
          <c:cat>
            <c:multiLvlStrRef>
              <c:f>[2]Figure10!$N$121:$O$124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[2]Figure10!$S$121:$S$124</c:f>
              <c:numCache>
                <c:formatCode>General</c:formatCode>
                <c:ptCount val="4"/>
                <c:pt idx="0">
                  <c:v>0.0</c:v>
                </c:pt>
                <c:pt idx="1">
                  <c:v>0.0</c:v>
                </c:pt>
                <c:pt idx="2">
                  <c:v>0.0</c:v>
                </c:pt>
                <c:pt idx="3">
                  <c:v>0.0</c:v>
                </c:pt>
              </c:numCache>
            </c:numRef>
          </c:val>
        </c:ser>
        <c:ser>
          <c:idx val="4"/>
          <c:order val="4"/>
          <c:tx>
            <c:strRef>
              <c:f>[2]Figure10!$T$120</c:f>
              <c:strCache>
                <c:ptCount val="1"/>
                <c:pt idx="0">
                  <c:v>#REF!</c:v>
                </c:pt>
              </c:strCache>
            </c:strRef>
          </c:tx>
          <c:invertIfNegative val="0"/>
          <c:cat>
            <c:multiLvlStrRef>
              <c:f>[2]Figure10!$N$121:$O$124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[2]Figure10!$T$121:$T$124</c:f>
              <c:numCache>
                <c:formatCode>General</c:formatCode>
                <c:ptCount val="4"/>
                <c:pt idx="0">
                  <c:v>0.0</c:v>
                </c:pt>
                <c:pt idx="1">
                  <c:v>0.0</c:v>
                </c:pt>
                <c:pt idx="2">
                  <c:v>0.0</c:v>
                </c:pt>
                <c:pt idx="3">
                  <c:v>0.0</c:v>
                </c:pt>
              </c:numCache>
            </c:numRef>
          </c:val>
        </c:ser>
        <c:ser>
          <c:idx val="5"/>
          <c:order val="5"/>
          <c:tx>
            <c:strRef>
              <c:f>[2]Figure10!$U$120</c:f>
              <c:strCache>
                <c:ptCount val="1"/>
                <c:pt idx="0">
                  <c:v>#REF!</c:v>
                </c:pt>
              </c:strCache>
            </c:strRef>
          </c:tx>
          <c:invertIfNegative val="0"/>
          <c:cat>
            <c:multiLvlStrRef>
              <c:f>[2]Figure10!$N$121:$O$124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[2]Figure10!$U$121:$U$124</c:f>
              <c:numCache>
                <c:formatCode>General</c:formatCode>
                <c:ptCount val="4"/>
                <c:pt idx="0">
                  <c:v>0.0</c:v>
                </c:pt>
                <c:pt idx="1">
                  <c:v>0.0</c:v>
                </c:pt>
                <c:pt idx="2">
                  <c:v>0.0</c:v>
                </c:pt>
                <c:pt idx="3">
                  <c:v>0.0</c:v>
                </c:pt>
              </c:numCache>
            </c:numRef>
          </c:val>
        </c:ser>
        <c:ser>
          <c:idx val="6"/>
          <c:order val="6"/>
          <c:tx>
            <c:strRef>
              <c:f>[2]Figure10!$V$120</c:f>
              <c:strCache>
                <c:ptCount val="1"/>
                <c:pt idx="0">
                  <c:v>#REF!</c:v>
                </c:pt>
              </c:strCache>
            </c:strRef>
          </c:tx>
          <c:invertIfNegative val="0"/>
          <c:cat>
            <c:multiLvlStrRef>
              <c:f>[2]Figure10!$N$121:$O$124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[2]Figure10!$V$121:$V$124</c:f>
              <c:numCache>
                <c:formatCode>General</c:formatCode>
                <c:ptCount val="4"/>
                <c:pt idx="0">
                  <c:v>0.0</c:v>
                </c:pt>
                <c:pt idx="1">
                  <c:v>0.0</c:v>
                </c:pt>
                <c:pt idx="2">
                  <c:v>0.0</c:v>
                </c:pt>
                <c:pt idx="3">
                  <c:v>0.0</c:v>
                </c:pt>
              </c:numCache>
            </c:numRef>
          </c:val>
        </c:ser>
        <c:ser>
          <c:idx val="7"/>
          <c:order val="7"/>
          <c:tx>
            <c:strRef>
              <c:f>[2]Figure10!$W$120</c:f>
              <c:strCache>
                <c:ptCount val="1"/>
                <c:pt idx="0">
                  <c:v>#REF!</c:v>
                </c:pt>
              </c:strCache>
            </c:strRef>
          </c:tx>
          <c:invertIfNegative val="0"/>
          <c:cat>
            <c:multiLvlStrRef>
              <c:f>[2]Figure10!$N$121:$O$124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[2]Figure10!$W$121:$W$124</c:f>
              <c:numCache>
                <c:formatCode>General</c:formatCode>
                <c:ptCount val="4"/>
                <c:pt idx="0">
                  <c:v>0.0</c:v>
                </c:pt>
                <c:pt idx="1">
                  <c:v>0.0</c:v>
                </c:pt>
                <c:pt idx="2">
                  <c:v>0.0</c:v>
                </c:pt>
                <c:pt idx="3">
                  <c:v>0.0</c:v>
                </c:pt>
              </c:numCache>
            </c:numRef>
          </c:val>
        </c:ser>
        <c:ser>
          <c:idx val="8"/>
          <c:order val="8"/>
          <c:tx>
            <c:strRef>
              <c:f>[2]Figure10!$X$120</c:f>
              <c:strCache>
                <c:ptCount val="1"/>
                <c:pt idx="0">
                  <c:v>#REF!</c:v>
                </c:pt>
              </c:strCache>
            </c:strRef>
          </c:tx>
          <c:invertIfNegative val="0"/>
          <c:cat>
            <c:multiLvlStrRef>
              <c:f>[2]Figure10!$N$121:$O$124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[2]Figure10!$X$121:$X$124</c:f>
              <c:numCache>
                <c:formatCode>General</c:formatCode>
                <c:ptCount val="4"/>
                <c:pt idx="0">
                  <c:v>0.0</c:v>
                </c:pt>
                <c:pt idx="1">
                  <c:v>0.0</c:v>
                </c:pt>
                <c:pt idx="2">
                  <c:v>0.0</c:v>
                </c:pt>
                <c:pt idx="3">
                  <c:v>0.0</c:v>
                </c:pt>
              </c:numCache>
            </c:numRef>
          </c:val>
        </c:ser>
        <c:ser>
          <c:idx val="9"/>
          <c:order val="9"/>
          <c:tx>
            <c:strRef>
              <c:f>[2]Figure10!$Y$120</c:f>
              <c:strCache>
                <c:ptCount val="1"/>
                <c:pt idx="0">
                  <c:v>#REF!</c:v>
                </c:pt>
              </c:strCache>
            </c:strRef>
          </c:tx>
          <c:invertIfNegative val="0"/>
          <c:cat>
            <c:multiLvlStrRef>
              <c:f>[2]Figure10!$N$121:$O$124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[2]Figure10!$Y$121:$Y$124</c:f>
              <c:numCache>
                <c:formatCode>General</c:formatCode>
                <c:ptCount val="4"/>
                <c:pt idx="0">
                  <c:v>0.0</c:v>
                </c:pt>
                <c:pt idx="1">
                  <c:v>0.0</c:v>
                </c:pt>
                <c:pt idx="2">
                  <c:v>0.0</c:v>
                </c:pt>
                <c:pt idx="3">
                  <c:v>0.0</c:v>
                </c:pt>
              </c:numCache>
            </c:numRef>
          </c:val>
        </c:ser>
        <c:dLbls>
          <c:showLegendKey val="0"/>
          <c:showVal val="0"/>
          <c:showCatName val="0"/>
          <c:showSerName val="0"/>
          <c:showPercent val="0"/>
          <c:showBubbleSize val="0"/>
        </c:dLbls>
        <c:gapWidth val="150"/>
        <c:overlap val="100"/>
        <c:axId val="2078984384"/>
        <c:axId val="2078987376"/>
      </c:barChart>
      <c:catAx>
        <c:axId val="2078984384"/>
        <c:scaling>
          <c:orientation val="minMax"/>
        </c:scaling>
        <c:delete val="0"/>
        <c:axPos val="l"/>
        <c:numFmt formatCode="General" sourceLinked="0"/>
        <c:majorTickMark val="out"/>
        <c:minorTickMark val="none"/>
        <c:tickLblPos val="nextTo"/>
        <c:txPr>
          <a:bodyPr/>
          <a:lstStyle/>
          <a:p>
            <a:pPr>
              <a:defRPr lang="da-DK"/>
            </a:pPr>
            <a:endParaRPr lang="en-US"/>
          </a:p>
        </c:txPr>
        <c:crossAx val="2078987376"/>
        <c:crosses val="autoZero"/>
        <c:auto val="1"/>
        <c:lblAlgn val="ctr"/>
        <c:lblOffset val="100"/>
        <c:noMultiLvlLbl val="0"/>
      </c:catAx>
      <c:valAx>
        <c:axId val="2078987376"/>
        <c:scaling>
          <c:orientation val="minMax"/>
        </c:scaling>
        <c:delete val="0"/>
        <c:axPos val="b"/>
        <c:majorGridlines/>
        <c:numFmt formatCode="General" sourceLinked="1"/>
        <c:majorTickMark val="out"/>
        <c:minorTickMark val="none"/>
        <c:tickLblPos val="nextTo"/>
        <c:txPr>
          <a:bodyPr/>
          <a:lstStyle/>
          <a:p>
            <a:pPr>
              <a:defRPr lang="da-DK"/>
            </a:pPr>
            <a:endParaRPr lang="en-US"/>
          </a:p>
        </c:txPr>
        <c:crossAx val="2078984384"/>
        <c:crosses val="autoZero"/>
        <c:crossBetween val="between"/>
      </c:valAx>
    </c:plotArea>
    <c:legend>
      <c:legendPos val="r"/>
      <c:layout>
        <c:manualLayout>
          <c:xMode val="edge"/>
          <c:yMode val="edge"/>
          <c:x val="0.767078046863452"/>
          <c:y val="0.11455042793786"/>
          <c:w val="0.207719808383118"/>
          <c:h val="0.68985829927894"/>
        </c:manualLayout>
      </c:layout>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[2]Figure10!$C$120</c:f>
              <c:strCache>
                <c:ptCount val="1"/>
                <c:pt idx="0">
                  <c:v>#REF!</c:v>
                </c:pt>
              </c:strCache>
            </c:strRef>
          </c:tx>
          <c:invertIfNegative val="0"/>
          <c:cat>
            <c:multiLvlStrRef>
              <c:f>[2]Figure10!$A$121:$B$124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[2]Figure10!$C$121:$C$124</c:f>
              <c:numCache>
                <c:formatCode>General</c:formatCode>
                <c:ptCount val="4"/>
                <c:pt idx="0">
                  <c:v>0.0</c:v>
                </c:pt>
                <c:pt idx="1">
                  <c:v>0.0</c:v>
                </c:pt>
                <c:pt idx="2">
                  <c:v>0.0</c:v>
                </c:pt>
                <c:pt idx="3">
                  <c:v>0.0</c:v>
                </c:pt>
              </c:numCache>
            </c:numRef>
          </c:val>
        </c:ser>
        <c:ser>
          <c:idx val="1"/>
          <c:order val="1"/>
          <c:tx>
            <c:strRef>
              <c:f>[2]Figure10!$D$120</c:f>
              <c:strCache>
                <c:ptCount val="1"/>
                <c:pt idx="0">
                  <c:v>#REF!</c:v>
                </c:pt>
              </c:strCache>
            </c:strRef>
          </c:tx>
          <c:invertIfNegative val="0"/>
          <c:cat>
            <c:multiLvlStrRef>
              <c:f>[2]Figure10!$A$121:$B$124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[2]Figure10!$D$121:$D$124</c:f>
              <c:numCache>
                <c:formatCode>General</c:formatCode>
                <c:ptCount val="4"/>
                <c:pt idx="0">
                  <c:v>0.0</c:v>
                </c:pt>
                <c:pt idx="1">
                  <c:v>0.0</c:v>
                </c:pt>
                <c:pt idx="2">
                  <c:v>0.0</c:v>
                </c:pt>
                <c:pt idx="3">
                  <c:v>0.0</c:v>
                </c:pt>
              </c:numCache>
            </c:numRef>
          </c:val>
        </c:ser>
        <c:ser>
          <c:idx val="2"/>
          <c:order val="2"/>
          <c:tx>
            <c:strRef>
              <c:f>[2]Figure10!$E$120</c:f>
              <c:strCache>
                <c:ptCount val="1"/>
                <c:pt idx="0">
                  <c:v>#REF!</c:v>
                </c:pt>
              </c:strCache>
            </c:strRef>
          </c:tx>
          <c:invertIfNegative val="0"/>
          <c:cat>
            <c:multiLvlStrRef>
              <c:f>[2]Figure10!$A$121:$B$124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[2]Figure10!$E$121:$E$124</c:f>
              <c:numCache>
                <c:formatCode>General</c:formatCode>
                <c:ptCount val="4"/>
                <c:pt idx="0">
                  <c:v>0.0</c:v>
                </c:pt>
                <c:pt idx="1">
                  <c:v>0.0</c:v>
                </c:pt>
                <c:pt idx="2">
                  <c:v>0.0</c:v>
                </c:pt>
                <c:pt idx="3">
                  <c:v>0.0</c:v>
                </c:pt>
              </c:numCache>
            </c:numRef>
          </c:val>
        </c:ser>
        <c:ser>
          <c:idx val="3"/>
          <c:order val="3"/>
          <c:tx>
            <c:strRef>
              <c:f>[2]Figure10!$F$120</c:f>
              <c:strCache>
                <c:ptCount val="1"/>
                <c:pt idx="0">
                  <c:v>#REF!</c:v>
                </c:pt>
              </c:strCache>
            </c:strRef>
          </c:tx>
          <c:invertIfNegative val="0"/>
          <c:cat>
            <c:multiLvlStrRef>
              <c:f>[2]Figure10!$A$121:$B$124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[2]Figure10!$F$121:$F$124</c:f>
              <c:numCache>
                <c:formatCode>General</c:formatCode>
                <c:ptCount val="4"/>
                <c:pt idx="0">
                  <c:v>0.0</c:v>
                </c:pt>
                <c:pt idx="1">
                  <c:v>0.0</c:v>
                </c:pt>
                <c:pt idx="2">
                  <c:v>0.0</c:v>
                </c:pt>
                <c:pt idx="3">
                  <c:v>0.0</c:v>
                </c:pt>
              </c:numCache>
            </c:numRef>
          </c:val>
        </c:ser>
        <c:ser>
          <c:idx val="4"/>
          <c:order val="4"/>
          <c:tx>
            <c:strRef>
              <c:f>[2]Figure10!$G$120</c:f>
              <c:strCache>
                <c:ptCount val="1"/>
                <c:pt idx="0">
                  <c:v>#REF!</c:v>
                </c:pt>
              </c:strCache>
            </c:strRef>
          </c:tx>
          <c:invertIfNegative val="0"/>
          <c:cat>
            <c:multiLvlStrRef>
              <c:f>[2]Figure10!$A$121:$B$124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[2]Figure10!$G$121:$G$124</c:f>
              <c:numCache>
                <c:formatCode>General</c:formatCode>
                <c:ptCount val="4"/>
                <c:pt idx="0">
                  <c:v>0.0</c:v>
                </c:pt>
                <c:pt idx="1">
                  <c:v>0.0</c:v>
                </c:pt>
                <c:pt idx="2">
                  <c:v>0.0</c:v>
                </c:pt>
                <c:pt idx="3">
                  <c:v>0.0</c:v>
                </c:pt>
              </c:numCache>
            </c:numRef>
          </c:val>
        </c:ser>
        <c:ser>
          <c:idx val="5"/>
          <c:order val="5"/>
          <c:tx>
            <c:strRef>
              <c:f>[2]Figure10!$H$120</c:f>
              <c:strCache>
                <c:ptCount val="1"/>
                <c:pt idx="0">
                  <c:v>#REF!</c:v>
                </c:pt>
              </c:strCache>
            </c:strRef>
          </c:tx>
          <c:invertIfNegative val="0"/>
          <c:cat>
            <c:multiLvlStrRef>
              <c:f>[2]Figure10!$A$121:$B$124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[2]Figure10!$H$121:$H$124</c:f>
              <c:numCache>
                <c:formatCode>General</c:formatCode>
                <c:ptCount val="4"/>
                <c:pt idx="0">
                  <c:v>0.0</c:v>
                </c:pt>
                <c:pt idx="1">
                  <c:v>0.0</c:v>
                </c:pt>
                <c:pt idx="2">
                  <c:v>0.0</c:v>
                </c:pt>
                <c:pt idx="3">
                  <c:v>0.0</c:v>
                </c:pt>
              </c:numCache>
            </c:numRef>
          </c:val>
        </c:ser>
        <c:ser>
          <c:idx val="6"/>
          <c:order val="6"/>
          <c:tx>
            <c:strRef>
              <c:f>[2]Figure10!$I$120</c:f>
              <c:strCache>
                <c:ptCount val="1"/>
                <c:pt idx="0">
                  <c:v>#REF!</c:v>
                </c:pt>
              </c:strCache>
            </c:strRef>
          </c:tx>
          <c:invertIfNegative val="0"/>
          <c:cat>
            <c:multiLvlStrRef>
              <c:f>[2]Figure10!$A$121:$B$124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[2]Figure10!$I$121:$I$124</c:f>
              <c:numCache>
                <c:formatCode>General</c:formatCode>
                <c:ptCount val="4"/>
                <c:pt idx="0">
                  <c:v>0.0</c:v>
                </c:pt>
                <c:pt idx="1">
                  <c:v>0.0</c:v>
                </c:pt>
                <c:pt idx="2">
                  <c:v>0.0</c:v>
                </c:pt>
                <c:pt idx="3">
                  <c:v>0.0</c:v>
                </c:pt>
              </c:numCache>
            </c:numRef>
          </c:val>
        </c:ser>
        <c:ser>
          <c:idx val="7"/>
          <c:order val="7"/>
          <c:tx>
            <c:strRef>
              <c:f>[2]Figure10!$J$120</c:f>
              <c:strCache>
                <c:ptCount val="1"/>
                <c:pt idx="0">
                  <c:v>#REF!</c:v>
                </c:pt>
              </c:strCache>
            </c:strRef>
          </c:tx>
          <c:invertIfNegative val="0"/>
          <c:cat>
            <c:multiLvlStrRef>
              <c:f>[2]Figure10!$A$121:$B$124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[2]Figure10!$J$121:$J$124</c:f>
              <c:numCache>
                <c:formatCode>General</c:formatCode>
                <c:ptCount val="4"/>
                <c:pt idx="0">
                  <c:v>0.0</c:v>
                </c:pt>
                <c:pt idx="1">
                  <c:v>0.0</c:v>
                </c:pt>
                <c:pt idx="2">
                  <c:v>0.0</c:v>
                </c:pt>
                <c:pt idx="3">
                  <c:v>0.0</c:v>
                </c:pt>
              </c:numCache>
            </c:numRef>
          </c:val>
        </c:ser>
        <c:ser>
          <c:idx val="8"/>
          <c:order val="8"/>
          <c:tx>
            <c:strRef>
              <c:f>[2]Figure10!$K$120</c:f>
              <c:strCache>
                <c:ptCount val="1"/>
                <c:pt idx="0">
                  <c:v>#REF!</c:v>
                </c:pt>
              </c:strCache>
            </c:strRef>
          </c:tx>
          <c:invertIfNegative val="0"/>
          <c:cat>
            <c:multiLvlStrRef>
              <c:f>[2]Figure10!$A$121:$B$124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[2]Figure10!$K$121:$K$124</c:f>
              <c:numCache>
                <c:formatCode>General</c:formatCode>
                <c:ptCount val="4"/>
                <c:pt idx="0">
                  <c:v>0.0</c:v>
                </c:pt>
                <c:pt idx="1">
                  <c:v>0.0</c:v>
                </c:pt>
                <c:pt idx="2">
                  <c:v>0.0</c:v>
                </c:pt>
                <c:pt idx="3">
                  <c:v>0.0</c:v>
                </c:pt>
              </c:numCache>
            </c:numRef>
          </c:val>
        </c:ser>
        <c:ser>
          <c:idx val="9"/>
          <c:order val="9"/>
          <c:tx>
            <c:strRef>
              <c:f>[2]Figure10!$L$120</c:f>
              <c:strCache>
                <c:ptCount val="1"/>
                <c:pt idx="0">
                  <c:v>#REF!</c:v>
                </c:pt>
              </c:strCache>
            </c:strRef>
          </c:tx>
          <c:invertIfNegative val="0"/>
          <c:cat>
            <c:multiLvlStrRef>
              <c:f>[2]Figure10!$A$121:$B$124</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[2]Figure10!$L$121:$L$124</c:f>
              <c:numCache>
                <c:formatCode>General</c:formatCode>
                <c:ptCount val="4"/>
                <c:pt idx="0">
                  <c:v>0.0</c:v>
                </c:pt>
                <c:pt idx="1">
                  <c:v>0.0</c:v>
                </c:pt>
                <c:pt idx="2">
                  <c:v>0.0</c:v>
                </c:pt>
                <c:pt idx="3">
                  <c:v>0.0</c:v>
                </c:pt>
              </c:numCache>
            </c:numRef>
          </c:val>
        </c:ser>
        <c:dLbls>
          <c:showLegendKey val="0"/>
          <c:showVal val="0"/>
          <c:showCatName val="0"/>
          <c:showSerName val="0"/>
          <c:showPercent val="0"/>
          <c:showBubbleSize val="0"/>
        </c:dLbls>
        <c:gapWidth val="150"/>
        <c:overlap val="100"/>
        <c:axId val="2079872768"/>
        <c:axId val="2079882832"/>
      </c:barChart>
      <c:catAx>
        <c:axId val="2079872768"/>
        <c:scaling>
          <c:orientation val="minMax"/>
        </c:scaling>
        <c:delete val="0"/>
        <c:axPos val="r"/>
        <c:numFmt formatCode="General" sourceLinked="1"/>
        <c:majorTickMark val="out"/>
        <c:minorTickMark val="none"/>
        <c:tickLblPos val="nextTo"/>
        <c:txPr>
          <a:bodyPr/>
          <a:lstStyle/>
          <a:p>
            <a:pPr>
              <a:defRPr lang="da-DK"/>
            </a:pPr>
            <a:endParaRPr lang="en-US"/>
          </a:p>
        </c:txPr>
        <c:crossAx val="2079882832"/>
        <c:crosses val="autoZero"/>
        <c:auto val="1"/>
        <c:lblAlgn val="ctr"/>
        <c:lblOffset val="100"/>
        <c:noMultiLvlLbl val="0"/>
      </c:catAx>
      <c:valAx>
        <c:axId val="2079882832"/>
        <c:scaling>
          <c:orientation val="maxMin"/>
        </c:scaling>
        <c:delete val="0"/>
        <c:axPos val="b"/>
        <c:majorGridlines/>
        <c:numFmt formatCode="General" sourceLinked="1"/>
        <c:majorTickMark val="out"/>
        <c:minorTickMark val="none"/>
        <c:tickLblPos val="nextTo"/>
        <c:txPr>
          <a:bodyPr/>
          <a:lstStyle/>
          <a:p>
            <a:pPr>
              <a:defRPr lang="da-DK"/>
            </a:pPr>
            <a:endParaRPr lang="en-US"/>
          </a:p>
        </c:txPr>
        <c:crossAx val="2079872768"/>
        <c:crosses val="autoZero"/>
        <c:crossBetween val="between"/>
      </c:valAx>
    </c:plotArea>
    <c:legend>
      <c:legendPos val="l"/>
      <c:layout/>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[2]Figure10!$C$6</c:f>
              <c:strCache>
                <c:ptCount val="1"/>
                <c:pt idx="0">
                  <c:v>#REF!</c:v>
                </c:pt>
              </c:strCache>
            </c:strRef>
          </c:tx>
          <c:invertIfNegative val="0"/>
          <c:cat>
            <c:multiLvlStrRef>
              <c:f>[2]Figure10!$A$7:$B$10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[2]Figure10!$C$7:$C$10</c:f>
              <c:numCache>
                <c:formatCode>General</c:formatCode>
                <c:ptCount val="4"/>
                <c:pt idx="0">
                  <c:v>0.0</c:v>
                </c:pt>
                <c:pt idx="1">
                  <c:v>0.0</c:v>
                </c:pt>
                <c:pt idx="2">
                  <c:v>0.0</c:v>
                </c:pt>
                <c:pt idx="3">
                  <c:v>0.0</c:v>
                </c:pt>
              </c:numCache>
            </c:numRef>
          </c:val>
        </c:ser>
        <c:ser>
          <c:idx val="1"/>
          <c:order val="1"/>
          <c:tx>
            <c:strRef>
              <c:f>[2]Figure10!$D$6</c:f>
              <c:strCache>
                <c:ptCount val="1"/>
                <c:pt idx="0">
                  <c:v>#REF!</c:v>
                </c:pt>
              </c:strCache>
            </c:strRef>
          </c:tx>
          <c:invertIfNegative val="0"/>
          <c:cat>
            <c:multiLvlStrRef>
              <c:f>[2]Figure10!$A$7:$B$10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[2]Figure10!$D$7:$D$10</c:f>
              <c:numCache>
                <c:formatCode>General</c:formatCode>
                <c:ptCount val="4"/>
                <c:pt idx="0">
                  <c:v>0.0</c:v>
                </c:pt>
                <c:pt idx="1">
                  <c:v>0.0</c:v>
                </c:pt>
                <c:pt idx="2">
                  <c:v>0.0</c:v>
                </c:pt>
                <c:pt idx="3">
                  <c:v>0.0</c:v>
                </c:pt>
              </c:numCache>
            </c:numRef>
          </c:val>
        </c:ser>
        <c:ser>
          <c:idx val="2"/>
          <c:order val="2"/>
          <c:tx>
            <c:strRef>
              <c:f>[2]Figure10!$E$6</c:f>
              <c:strCache>
                <c:ptCount val="1"/>
                <c:pt idx="0">
                  <c:v>#REF!</c:v>
                </c:pt>
              </c:strCache>
            </c:strRef>
          </c:tx>
          <c:invertIfNegative val="0"/>
          <c:cat>
            <c:multiLvlStrRef>
              <c:f>[2]Figure10!$A$7:$B$10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[2]Figure10!$E$7:$E$10</c:f>
              <c:numCache>
                <c:formatCode>General</c:formatCode>
                <c:ptCount val="4"/>
                <c:pt idx="0">
                  <c:v>0.0</c:v>
                </c:pt>
                <c:pt idx="1">
                  <c:v>0.0</c:v>
                </c:pt>
                <c:pt idx="2">
                  <c:v>0.0</c:v>
                </c:pt>
                <c:pt idx="3">
                  <c:v>0.0</c:v>
                </c:pt>
              </c:numCache>
            </c:numRef>
          </c:val>
        </c:ser>
        <c:ser>
          <c:idx val="3"/>
          <c:order val="3"/>
          <c:tx>
            <c:strRef>
              <c:f>[2]Figure10!$F$6</c:f>
              <c:strCache>
                <c:ptCount val="1"/>
                <c:pt idx="0">
                  <c:v>#REF!</c:v>
                </c:pt>
              </c:strCache>
            </c:strRef>
          </c:tx>
          <c:invertIfNegative val="0"/>
          <c:cat>
            <c:multiLvlStrRef>
              <c:f>[2]Figure10!$A$7:$B$10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[2]Figure10!$F$7:$F$10</c:f>
              <c:numCache>
                <c:formatCode>General</c:formatCode>
                <c:ptCount val="4"/>
                <c:pt idx="0">
                  <c:v>0.0</c:v>
                </c:pt>
                <c:pt idx="1">
                  <c:v>0.0</c:v>
                </c:pt>
                <c:pt idx="2">
                  <c:v>0.0</c:v>
                </c:pt>
                <c:pt idx="3">
                  <c:v>0.0</c:v>
                </c:pt>
              </c:numCache>
            </c:numRef>
          </c:val>
        </c:ser>
        <c:ser>
          <c:idx val="4"/>
          <c:order val="4"/>
          <c:tx>
            <c:strRef>
              <c:f>[2]Figure10!$G$6</c:f>
              <c:strCache>
                <c:ptCount val="1"/>
                <c:pt idx="0">
                  <c:v>#REF!</c:v>
                </c:pt>
              </c:strCache>
            </c:strRef>
          </c:tx>
          <c:invertIfNegative val="0"/>
          <c:cat>
            <c:multiLvlStrRef>
              <c:f>[2]Figure10!$A$7:$B$10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[2]Figure10!$G$7:$G$10</c:f>
              <c:numCache>
                <c:formatCode>General</c:formatCode>
                <c:ptCount val="4"/>
                <c:pt idx="0">
                  <c:v>0.0</c:v>
                </c:pt>
                <c:pt idx="1">
                  <c:v>0.0</c:v>
                </c:pt>
                <c:pt idx="2">
                  <c:v>0.0</c:v>
                </c:pt>
                <c:pt idx="3">
                  <c:v>0.0</c:v>
                </c:pt>
              </c:numCache>
            </c:numRef>
          </c:val>
        </c:ser>
        <c:ser>
          <c:idx val="5"/>
          <c:order val="5"/>
          <c:tx>
            <c:strRef>
              <c:f>[2]Figure10!$H$6</c:f>
              <c:strCache>
                <c:ptCount val="1"/>
                <c:pt idx="0">
                  <c:v>#REF!</c:v>
                </c:pt>
              </c:strCache>
            </c:strRef>
          </c:tx>
          <c:invertIfNegative val="0"/>
          <c:cat>
            <c:multiLvlStrRef>
              <c:f>[2]Figure10!$A$7:$B$10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[2]Figure10!$H$7:$H$10</c:f>
              <c:numCache>
                <c:formatCode>General</c:formatCode>
                <c:ptCount val="4"/>
                <c:pt idx="0">
                  <c:v>0.0</c:v>
                </c:pt>
                <c:pt idx="1">
                  <c:v>0.0</c:v>
                </c:pt>
                <c:pt idx="2">
                  <c:v>0.0</c:v>
                </c:pt>
                <c:pt idx="3">
                  <c:v>0.0</c:v>
                </c:pt>
              </c:numCache>
            </c:numRef>
          </c:val>
        </c:ser>
        <c:ser>
          <c:idx val="6"/>
          <c:order val="6"/>
          <c:tx>
            <c:strRef>
              <c:f>[2]Figure10!$I$6</c:f>
              <c:strCache>
                <c:ptCount val="1"/>
                <c:pt idx="0">
                  <c:v>#REF!</c:v>
                </c:pt>
              </c:strCache>
            </c:strRef>
          </c:tx>
          <c:invertIfNegative val="0"/>
          <c:cat>
            <c:multiLvlStrRef>
              <c:f>[2]Figure10!$A$7:$B$10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[2]Figure10!$I$7:$I$10</c:f>
              <c:numCache>
                <c:formatCode>General</c:formatCode>
                <c:ptCount val="4"/>
                <c:pt idx="0">
                  <c:v>0.0</c:v>
                </c:pt>
                <c:pt idx="1">
                  <c:v>0.0</c:v>
                </c:pt>
                <c:pt idx="2">
                  <c:v>0.0</c:v>
                </c:pt>
                <c:pt idx="3">
                  <c:v>0.0</c:v>
                </c:pt>
              </c:numCache>
            </c:numRef>
          </c:val>
        </c:ser>
        <c:ser>
          <c:idx val="7"/>
          <c:order val="7"/>
          <c:tx>
            <c:strRef>
              <c:f>[2]Figure10!$J$6</c:f>
              <c:strCache>
                <c:ptCount val="1"/>
                <c:pt idx="0">
                  <c:v>#REF!</c:v>
                </c:pt>
              </c:strCache>
            </c:strRef>
          </c:tx>
          <c:invertIfNegative val="0"/>
          <c:cat>
            <c:multiLvlStrRef>
              <c:f>[2]Figure10!$A$7:$B$10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[2]Figure10!$J$7:$J$10</c:f>
              <c:numCache>
                <c:formatCode>General</c:formatCode>
                <c:ptCount val="4"/>
                <c:pt idx="0">
                  <c:v>0.0</c:v>
                </c:pt>
                <c:pt idx="1">
                  <c:v>0.0</c:v>
                </c:pt>
                <c:pt idx="2">
                  <c:v>0.0</c:v>
                </c:pt>
                <c:pt idx="3">
                  <c:v>0.0</c:v>
                </c:pt>
              </c:numCache>
            </c:numRef>
          </c:val>
        </c:ser>
        <c:ser>
          <c:idx val="8"/>
          <c:order val="8"/>
          <c:tx>
            <c:strRef>
              <c:f>[2]Figure10!$K$6</c:f>
              <c:strCache>
                <c:ptCount val="1"/>
                <c:pt idx="0">
                  <c:v>#REF!</c:v>
                </c:pt>
              </c:strCache>
            </c:strRef>
          </c:tx>
          <c:invertIfNegative val="0"/>
          <c:cat>
            <c:multiLvlStrRef>
              <c:f>[2]Figure10!$A$7:$B$10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[2]Figure10!$K$7:$K$10</c:f>
              <c:numCache>
                <c:formatCode>General</c:formatCode>
                <c:ptCount val="4"/>
                <c:pt idx="0">
                  <c:v>0.0</c:v>
                </c:pt>
                <c:pt idx="1">
                  <c:v>0.0</c:v>
                </c:pt>
                <c:pt idx="2">
                  <c:v>0.0</c:v>
                </c:pt>
                <c:pt idx="3">
                  <c:v>0.0</c:v>
                </c:pt>
              </c:numCache>
            </c:numRef>
          </c:val>
        </c:ser>
        <c:ser>
          <c:idx val="9"/>
          <c:order val="9"/>
          <c:tx>
            <c:strRef>
              <c:f>[2]Figure10!$L$6</c:f>
              <c:strCache>
                <c:ptCount val="1"/>
                <c:pt idx="0">
                  <c:v>#REF!</c:v>
                </c:pt>
              </c:strCache>
            </c:strRef>
          </c:tx>
          <c:invertIfNegative val="0"/>
          <c:cat>
            <c:multiLvlStrRef>
              <c:f>[2]Figure10!$A$7:$B$10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[2]Figure10!$L$7:$L$10</c:f>
              <c:numCache>
                <c:formatCode>General</c:formatCode>
                <c:ptCount val="4"/>
                <c:pt idx="0">
                  <c:v>0.0</c:v>
                </c:pt>
                <c:pt idx="1">
                  <c:v>0.0</c:v>
                </c:pt>
                <c:pt idx="2">
                  <c:v>0.0</c:v>
                </c:pt>
                <c:pt idx="3">
                  <c:v>0.0</c:v>
                </c:pt>
              </c:numCache>
            </c:numRef>
          </c:val>
        </c:ser>
        <c:dLbls>
          <c:showLegendKey val="0"/>
          <c:showVal val="0"/>
          <c:showCatName val="0"/>
          <c:showSerName val="0"/>
          <c:showPercent val="0"/>
          <c:showBubbleSize val="0"/>
        </c:dLbls>
        <c:gapWidth val="150"/>
        <c:overlap val="100"/>
        <c:axId val="2079097840"/>
        <c:axId val="2079100848"/>
      </c:barChart>
      <c:catAx>
        <c:axId val="2079097840"/>
        <c:scaling>
          <c:orientation val="minMax"/>
        </c:scaling>
        <c:delete val="0"/>
        <c:axPos val="r"/>
        <c:numFmt formatCode="General" sourceLinked="1"/>
        <c:majorTickMark val="out"/>
        <c:minorTickMark val="none"/>
        <c:tickLblPos val="nextTo"/>
        <c:txPr>
          <a:bodyPr/>
          <a:lstStyle/>
          <a:p>
            <a:pPr>
              <a:defRPr lang="da-DK"/>
            </a:pPr>
            <a:endParaRPr lang="en-US"/>
          </a:p>
        </c:txPr>
        <c:crossAx val="2079100848"/>
        <c:crosses val="autoZero"/>
        <c:auto val="1"/>
        <c:lblAlgn val="ctr"/>
        <c:lblOffset val="100"/>
        <c:noMultiLvlLbl val="0"/>
      </c:catAx>
      <c:valAx>
        <c:axId val="2079100848"/>
        <c:scaling>
          <c:orientation val="maxMin"/>
        </c:scaling>
        <c:delete val="0"/>
        <c:axPos val="b"/>
        <c:majorGridlines/>
        <c:numFmt formatCode="General" sourceLinked="1"/>
        <c:majorTickMark val="out"/>
        <c:minorTickMark val="none"/>
        <c:tickLblPos val="nextTo"/>
        <c:txPr>
          <a:bodyPr/>
          <a:lstStyle/>
          <a:p>
            <a:pPr>
              <a:defRPr lang="da-DK"/>
            </a:pPr>
            <a:endParaRPr lang="en-US"/>
          </a:p>
        </c:txPr>
        <c:crossAx val="2079097840"/>
        <c:crosses val="autoZero"/>
        <c:crossBetween val="between"/>
      </c:valAx>
    </c:plotArea>
    <c:legend>
      <c:legendPos val="l"/>
      <c:layout/>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[2]Figure10!$P$6</c:f>
              <c:strCache>
                <c:ptCount val="1"/>
                <c:pt idx="0">
                  <c:v>#REF!</c:v>
                </c:pt>
              </c:strCache>
            </c:strRef>
          </c:tx>
          <c:invertIfNegative val="0"/>
          <c:cat>
            <c:multiLvlStrRef>
              <c:f>[2]Figure10!$N$7:$O$10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[2]Figure10!$P$7:$P$10</c:f>
              <c:numCache>
                <c:formatCode>General</c:formatCode>
                <c:ptCount val="4"/>
                <c:pt idx="0">
                  <c:v>0.0</c:v>
                </c:pt>
                <c:pt idx="1">
                  <c:v>0.0</c:v>
                </c:pt>
                <c:pt idx="2">
                  <c:v>0.0</c:v>
                </c:pt>
                <c:pt idx="3">
                  <c:v>0.0</c:v>
                </c:pt>
              </c:numCache>
            </c:numRef>
          </c:val>
        </c:ser>
        <c:ser>
          <c:idx val="1"/>
          <c:order val="1"/>
          <c:tx>
            <c:strRef>
              <c:f>[2]Figure10!$Q$6</c:f>
              <c:strCache>
                <c:ptCount val="1"/>
                <c:pt idx="0">
                  <c:v>#REF!</c:v>
                </c:pt>
              </c:strCache>
            </c:strRef>
          </c:tx>
          <c:invertIfNegative val="0"/>
          <c:cat>
            <c:multiLvlStrRef>
              <c:f>[2]Figure10!$N$7:$O$10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[2]Figure10!$Q$7:$Q$10</c:f>
              <c:numCache>
                <c:formatCode>General</c:formatCode>
                <c:ptCount val="4"/>
                <c:pt idx="0">
                  <c:v>0.0</c:v>
                </c:pt>
                <c:pt idx="1">
                  <c:v>0.0</c:v>
                </c:pt>
                <c:pt idx="2">
                  <c:v>0.0</c:v>
                </c:pt>
                <c:pt idx="3">
                  <c:v>0.0</c:v>
                </c:pt>
              </c:numCache>
            </c:numRef>
          </c:val>
        </c:ser>
        <c:ser>
          <c:idx val="2"/>
          <c:order val="2"/>
          <c:tx>
            <c:strRef>
              <c:f>[2]Figure10!$R$6</c:f>
              <c:strCache>
                <c:ptCount val="1"/>
                <c:pt idx="0">
                  <c:v>#REF!</c:v>
                </c:pt>
              </c:strCache>
            </c:strRef>
          </c:tx>
          <c:invertIfNegative val="0"/>
          <c:cat>
            <c:multiLvlStrRef>
              <c:f>[2]Figure10!$N$7:$O$10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[2]Figure10!$R$7:$R$10</c:f>
              <c:numCache>
                <c:formatCode>General</c:formatCode>
                <c:ptCount val="4"/>
                <c:pt idx="0">
                  <c:v>0.0</c:v>
                </c:pt>
                <c:pt idx="1">
                  <c:v>0.0</c:v>
                </c:pt>
                <c:pt idx="2">
                  <c:v>0.0</c:v>
                </c:pt>
                <c:pt idx="3">
                  <c:v>0.0</c:v>
                </c:pt>
              </c:numCache>
            </c:numRef>
          </c:val>
        </c:ser>
        <c:ser>
          <c:idx val="3"/>
          <c:order val="3"/>
          <c:tx>
            <c:strRef>
              <c:f>[2]Figure10!$S$6</c:f>
              <c:strCache>
                <c:ptCount val="1"/>
                <c:pt idx="0">
                  <c:v>#REF!</c:v>
                </c:pt>
              </c:strCache>
            </c:strRef>
          </c:tx>
          <c:invertIfNegative val="0"/>
          <c:cat>
            <c:multiLvlStrRef>
              <c:f>[2]Figure10!$N$7:$O$10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[2]Figure10!$S$7:$S$10</c:f>
              <c:numCache>
                <c:formatCode>General</c:formatCode>
                <c:ptCount val="4"/>
                <c:pt idx="0">
                  <c:v>0.0</c:v>
                </c:pt>
                <c:pt idx="1">
                  <c:v>0.0</c:v>
                </c:pt>
                <c:pt idx="2">
                  <c:v>0.0</c:v>
                </c:pt>
                <c:pt idx="3">
                  <c:v>0.0</c:v>
                </c:pt>
              </c:numCache>
            </c:numRef>
          </c:val>
        </c:ser>
        <c:ser>
          <c:idx val="4"/>
          <c:order val="4"/>
          <c:tx>
            <c:strRef>
              <c:f>[2]Figure10!$T$6</c:f>
              <c:strCache>
                <c:ptCount val="1"/>
                <c:pt idx="0">
                  <c:v>#REF!</c:v>
                </c:pt>
              </c:strCache>
            </c:strRef>
          </c:tx>
          <c:invertIfNegative val="0"/>
          <c:cat>
            <c:multiLvlStrRef>
              <c:f>[2]Figure10!$N$7:$O$10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[2]Figure10!$T$7:$T$10</c:f>
              <c:numCache>
                <c:formatCode>General</c:formatCode>
                <c:ptCount val="4"/>
                <c:pt idx="0">
                  <c:v>0.0</c:v>
                </c:pt>
                <c:pt idx="1">
                  <c:v>0.0</c:v>
                </c:pt>
                <c:pt idx="2">
                  <c:v>0.0</c:v>
                </c:pt>
                <c:pt idx="3">
                  <c:v>0.0</c:v>
                </c:pt>
              </c:numCache>
            </c:numRef>
          </c:val>
        </c:ser>
        <c:ser>
          <c:idx val="5"/>
          <c:order val="5"/>
          <c:tx>
            <c:strRef>
              <c:f>[2]Figure10!$U$6</c:f>
              <c:strCache>
                <c:ptCount val="1"/>
                <c:pt idx="0">
                  <c:v>#REF!</c:v>
                </c:pt>
              </c:strCache>
            </c:strRef>
          </c:tx>
          <c:invertIfNegative val="0"/>
          <c:cat>
            <c:multiLvlStrRef>
              <c:f>[2]Figure10!$N$7:$O$10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[2]Figure10!$U$7:$U$10</c:f>
              <c:numCache>
                <c:formatCode>General</c:formatCode>
                <c:ptCount val="4"/>
                <c:pt idx="0">
                  <c:v>0.0</c:v>
                </c:pt>
                <c:pt idx="1">
                  <c:v>0.0</c:v>
                </c:pt>
                <c:pt idx="2">
                  <c:v>0.0</c:v>
                </c:pt>
                <c:pt idx="3">
                  <c:v>0.0</c:v>
                </c:pt>
              </c:numCache>
            </c:numRef>
          </c:val>
        </c:ser>
        <c:ser>
          <c:idx val="6"/>
          <c:order val="6"/>
          <c:tx>
            <c:strRef>
              <c:f>[2]Figure10!$V$6</c:f>
              <c:strCache>
                <c:ptCount val="1"/>
                <c:pt idx="0">
                  <c:v>#REF!</c:v>
                </c:pt>
              </c:strCache>
            </c:strRef>
          </c:tx>
          <c:invertIfNegative val="0"/>
          <c:cat>
            <c:multiLvlStrRef>
              <c:f>[2]Figure10!$N$7:$O$10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[2]Figure10!$V$7:$V$10</c:f>
              <c:numCache>
                <c:formatCode>General</c:formatCode>
                <c:ptCount val="4"/>
                <c:pt idx="0">
                  <c:v>0.0</c:v>
                </c:pt>
                <c:pt idx="1">
                  <c:v>0.0</c:v>
                </c:pt>
                <c:pt idx="2">
                  <c:v>0.0</c:v>
                </c:pt>
                <c:pt idx="3">
                  <c:v>0.0</c:v>
                </c:pt>
              </c:numCache>
            </c:numRef>
          </c:val>
        </c:ser>
        <c:ser>
          <c:idx val="7"/>
          <c:order val="7"/>
          <c:tx>
            <c:strRef>
              <c:f>[2]Figure10!$W$6</c:f>
              <c:strCache>
                <c:ptCount val="1"/>
                <c:pt idx="0">
                  <c:v>#REF!</c:v>
                </c:pt>
              </c:strCache>
            </c:strRef>
          </c:tx>
          <c:invertIfNegative val="0"/>
          <c:cat>
            <c:multiLvlStrRef>
              <c:f>[2]Figure10!$N$7:$O$10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[2]Figure10!$W$7:$W$10</c:f>
              <c:numCache>
                <c:formatCode>General</c:formatCode>
                <c:ptCount val="4"/>
                <c:pt idx="0">
                  <c:v>0.0</c:v>
                </c:pt>
                <c:pt idx="1">
                  <c:v>0.0</c:v>
                </c:pt>
                <c:pt idx="2">
                  <c:v>0.0</c:v>
                </c:pt>
                <c:pt idx="3">
                  <c:v>0.0</c:v>
                </c:pt>
              </c:numCache>
            </c:numRef>
          </c:val>
        </c:ser>
        <c:ser>
          <c:idx val="8"/>
          <c:order val="8"/>
          <c:tx>
            <c:strRef>
              <c:f>[2]Figure10!$X$6</c:f>
              <c:strCache>
                <c:ptCount val="1"/>
                <c:pt idx="0">
                  <c:v>#REF!</c:v>
                </c:pt>
              </c:strCache>
            </c:strRef>
          </c:tx>
          <c:invertIfNegative val="0"/>
          <c:cat>
            <c:multiLvlStrRef>
              <c:f>[2]Figure10!$N$7:$O$10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[2]Figure10!$X$7:$X$10</c:f>
              <c:numCache>
                <c:formatCode>General</c:formatCode>
                <c:ptCount val="4"/>
                <c:pt idx="0">
                  <c:v>0.0</c:v>
                </c:pt>
                <c:pt idx="1">
                  <c:v>0.0</c:v>
                </c:pt>
                <c:pt idx="2">
                  <c:v>0.0</c:v>
                </c:pt>
                <c:pt idx="3">
                  <c:v>0.0</c:v>
                </c:pt>
              </c:numCache>
            </c:numRef>
          </c:val>
        </c:ser>
        <c:ser>
          <c:idx val="9"/>
          <c:order val="9"/>
          <c:tx>
            <c:strRef>
              <c:f>[2]Figure10!$Y$6</c:f>
              <c:strCache>
                <c:ptCount val="1"/>
                <c:pt idx="0">
                  <c:v>#REF!</c:v>
                </c:pt>
              </c:strCache>
            </c:strRef>
          </c:tx>
          <c:invertIfNegative val="0"/>
          <c:cat>
            <c:multiLvlStrRef>
              <c:f>[2]Figure10!$N$7:$O$10</c:f>
              <c:multiLvlStrCache>
                <c:ptCount val="4"/>
                <c:lvl>
                  <c:pt idx="0">
                    <c:v>#REF!</c:v>
                  </c:pt>
                  <c:pt idx="1">
                    <c:v>#REF!</c:v>
                  </c:pt>
                  <c:pt idx="2">
                    <c:v>#REF!</c:v>
                  </c:pt>
                  <c:pt idx="3">
                    <c:v>#REF!</c:v>
                  </c:pt>
                </c:lvl>
                <c:lvl>
                  <c:pt idx="0">
                    <c:v>#REF!</c:v>
                  </c:pt>
                  <c:pt idx="1">
                    <c:v>#REF!</c:v>
                  </c:pt>
                  <c:pt idx="2">
                    <c:v>#REF!</c:v>
                  </c:pt>
                  <c:pt idx="3">
                    <c:v>#REF!</c:v>
                  </c:pt>
                </c:lvl>
              </c:multiLvlStrCache>
            </c:multiLvlStrRef>
          </c:cat>
          <c:val>
            <c:numRef>
              <c:f>[2]Figure10!$Y$7:$Y$10</c:f>
              <c:numCache>
                <c:formatCode>General</c:formatCode>
                <c:ptCount val="4"/>
                <c:pt idx="0">
                  <c:v>0.0</c:v>
                </c:pt>
                <c:pt idx="1">
                  <c:v>0.0</c:v>
                </c:pt>
                <c:pt idx="2">
                  <c:v>0.0</c:v>
                </c:pt>
                <c:pt idx="3">
                  <c:v>0.0</c:v>
                </c:pt>
              </c:numCache>
            </c:numRef>
          </c:val>
        </c:ser>
        <c:dLbls>
          <c:showLegendKey val="0"/>
          <c:showVal val="0"/>
          <c:showCatName val="0"/>
          <c:showSerName val="0"/>
          <c:showPercent val="0"/>
          <c:showBubbleSize val="0"/>
        </c:dLbls>
        <c:gapWidth val="150"/>
        <c:overlap val="100"/>
        <c:axId val="2080000656"/>
        <c:axId val="2080003648"/>
      </c:barChart>
      <c:catAx>
        <c:axId val="2080000656"/>
        <c:scaling>
          <c:orientation val="minMax"/>
        </c:scaling>
        <c:delete val="0"/>
        <c:axPos val="l"/>
        <c:numFmt formatCode="General" sourceLinked="0"/>
        <c:majorTickMark val="out"/>
        <c:minorTickMark val="none"/>
        <c:tickLblPos val="nextTo"/>
        <c:txPr>
          <a:bodyPr/>
          <a:lstStyle/>
          <a:p>
            <a:pPr>
              <a:defRPr lang="da-DK"/>
            </a:pPr>
            <a:endParaRPr lang="en-US"/>
          </a:p>
        </c:txPr>
        <c:crossAx val="2080003648"/>
        <c:crosses val="autoZero"/>
        <c:auto val="1"/>
        <c:lblAlgn val="ctr"/>
        <c:lblOffset val="100"/>
        <c:noMultiLvlLbl val="0"/>
      </c:catAx>
      <c:valAx>
        <c:axId val="2080003648"/>
        <c:scaling>
          <c:orientation val="minMax"/>
        </c:scaling>
        <c:delete val="0"/>
        <c:axPos val="b"/>
        <c:majorGridlines/>
        <c:numFmt formatCode="General" sourceLinked="1"/>
        <c:majorTickMark val="out"/>
        <c:minorTickMark val="none"/>
        <c:tickLblPos val="nextTo"/>
        <c:txPr>
          <a:bodyPr/>
          <a:lstStyle/>
          <a:p>
            <a:pPr>
              <a:defRPr lang="da-DK"/>
            </a:pPr>
            <a:endParaRPr lang="en-US"/>
          </a:p>
        </c:txPr>
        <c:crossAx val="2080000656"/>
        <c:crosses val="autoZero"/>
        <c:crossBetween val="between"/>
      </c:valAx>
    </c:plotArea>
    <c:legend>
      <c:legendPos val="r"/>
      <c:layout>
        <c:manualLayout>
          <c:xMode val="edge"/>
          <c:yMode val="edge"/>
          <c:x val="0.681391477664736"/>
          <c:y val="0.0810301837270341"/>
          <c:w val="0.258022837231157"/>
          <c:h val="0.60710016374175"/>
        </c:manualLayout>
      </c:layout>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invertIfNegative val="0"/>
          <c:cat>
            <c:strRef>
              <c:f>Figure5!$B$5:$B$51</c:f>
              <c:strCache>
                <c:ptCount val="47"/>
                <c:pt idx="0">
                  <c:v>Turkey</c:v>
                </c:pt>
                <c:pt idx="1">
                  <c:v>Armenia</c:v>
                </c:pt>
                <c:pt idx="2">
                  <c:v>Tajikistan</c:v>
                </c:pt>
                <c:pt idx="3">
                  <c:v>Malta</c:v>
                </c:pt>
                <c:pt idx="4">
                  <c:v>Czech Republic</c:v>
                </c:pt>
                <c:pt idx="5">
                  <c:v>Cyprus</c:v>
                </c:pt>
                <c:pt idx="6">
                  <c:v>Azerbaijan</c:v>
                </c:pt>
                <c:pt idx="7">
                  <c:v>Hungary</c:v>
                </c:pt>
                <c:pt idx="8">
                  <c:v>Greece</c:v>
                </c:pt>
                <c:pt idx="9">
                  <c:v>Slovakia</c:v>
                </c:pt>
                <c:pt idx="10">
                  <c:v>Georgia</c:v>
                </c:pt>
                <c:pt idx="11">
                  <c:v>Albania</c:v>
                </c:pt>
                <c:pt idx="12">
                  <c:v>Russian Federation</c:v>
                </c:pt>
                <c:pt idx="13">
                  <c:v>Montenegro</c:v>
                </c:pt>
                <c:pt idx="14">
                  <c:v>Romania</c:v>
                </c:pt>
                <c:pt idx="15">
                  <c:v>MKDa</c:v>
                </c:pt>
                <c:pt idx="16">
                  <c:v>Italy</c:v>
                </c:pt>
                <c:pt idx="17">
                  <c:v>Kyrgyzstan</c:v>
                </c:pt>
                <c:pt idx="18">
                  <c:v>Israel</c:v>
                </c:pt>
                <c:pt idx="19">
                  <c:v>Estonia</c:v>
                </c:pt>
                <c:pt idx="20">
                  <c:v>Poland</c:v>
                </c:pt>
                <c:pt idx="21">
                  <c:v>Ukraine</c:v>
                </c:pt>
                <c:pt idx="22">
                  <c:v>Croatia</c:v>
                </c:pt>
                <c:pt idx="23">
                  <c:v>Serbia</c:v>
                </c:pt>
                <c:pt idx="24">
                  <c:v>Lithuania</c:v>
                </c:pt>
                <c:pt idx="25">
                  <c:v>Kazakhstan</c:v>
                </c:pt>
                <c:pt idx="26">
                  <c:v>Portugal</c:v>
                </c:pt>
                <c:pt idx="27">
                  <c:v>Austria</c:v>
                </c:pt>
                <c:pt idx="28">
                  <c:v>Belarus</c:v>
                </c:pt>
                <c:pt idx="29">
                  <c:v>Spain</c:v>
                </c:pt>
                <c:pt idx="30">
                  <c:v>Luxembourg</c:v>
                </c:pt>
                <c:pt idx="31">
                  <c:v>United Kingdom</c:v>
                </c:pt>
                <c:pt idx="32">
                  <c:v>Republic of Moldova</c:v>
                </c:pt>
                <c:pt idx="33">
                  <c:v>Slovenia</c:v>
                </c:pt>
                <c:pt idx="34">
                  <c:v>Bulgaria</c:v>
                </c:pt>
                <c:pt idx="35">
                  <c:v>France</c:v>
                </c:pt>
                <c:pt idx="36">
                  <c:v>Latvia</c:v>
                </c:pt>
                <c:pt idx="37">
                  <c:v>Netherlands</c:v>
                </c:pt>
                <c:pt idx="38">
                  <c:v>Germany</c:v>
                </c:pt>
                <c:pt idx="39">
                  <c:v>Switzerland</c:v>
                </c:pt>
                <c:pt idx="40">
                  <c:v>Belgium</c:v>
                </c:pt>
                <c:pt idx="41">
                  <c:v>Ireland</c:v>
                </c:pt>
                <c:pt idx="42">
                  <c:v>Denmark</c:v>
                </c:pt>
                <c:pt idx="43">
                  <c:v>Sweden</c:v>
                </c:pt>
                <c:pt idx="44">
                  <c:v>Norway</c:v>
                </c:pt>
                <c:pt idx="45">
                  <c:v>Finland</c:v>
                </c:pt>
                <c:pt idx="46">
                  <c:v>Iceland</c:v>
                </c:pt>
              </c:strCache>
            </c:strRef>
          </c:cat>
          <c:val>
            <c:numRef>
              <c:f>Figure5!$C$5:$C$51</c:f>
              <c:numCache>
                <c:formatCode>General</c:formatCode>
                <c:ptCount val="47"/>
                <c:pt idx="0">
                  <c:v>0.6183</c:v>
                </c:pt>
                <c:pt idx="1">
                  <c:v>0.6622</c:v>
                </c:pt>
                <c:pt idx="2">
                  <c:v>0.6654</c:v>
                </c:pt>
                <c:pt idx="3">
                  <c:v>0.6707</c:v>
                </c:pt>
                <c:pt idx="4">
                  <c:v>0.6737</c:v>
                </c:pt>
                <c:pt idx="5">
                  <c:v>0.6741</c:v>
                </c:pt>
                <c:pt idx="6">
                  <c:v>0.6753</c:v>
                </c:pt>
                <c:pt idx="7">
                  <c:v>0.6759</c:v>
                </c:pt>
                <c:pt idx="8">
                  <c:v>0.6784</c:v>
                </c:pt>
                <c:pt idx="9">
                  <c:v>0.6806</c:v>
                </c:pt>
                <c:pt idx="10">
                  <c:v>0.6855</c:v>
                </c:pt>
                <c:pt idx="11">
                  <c:v>0.6869</c:v>
                </c:pt>
                <c:pt idx="12">
                  <c:v>0.6927</c:v>
                </c:pt>
                <c:pt idx="13">
                  <c:v>0.6934</c:v>
                </c:pt>
                <c:pt idx="14">
                  <c:v>0.6936</c:v>
                </c:pt>
                <c:pt idx="15">
                  <c:v>0.6943</c:v>
                </c:pt>
                <c:pt idx="16">
                  <c:v>0.6973</c:v>
                </c:pt>
                <c:pt idx="17">
                  <c:v>0.6974</c:v>
                </c:pt>
                <c:pt idx="18">
                  <c:v>0.7005</c:v>
                </c:pt>
                <c:pt idx="19">
                  <c:v>0.7017</c:v>
                </c:pt>
                <c:pt idx="20">
                  <c:v>0.7051</c:v>
                </c:pt>
                <c:pt idx="21">
                  <c:v>0.7056</c:v>
                </c:pt>
                <c:pt idx="22">
                  <c:v>0.7075</c:v>
                </c:pt>
                <c:pt idx="23">
                  <c:v>0.7086</c:v>
                </c:pt>
                <c:pt idx="24">
                  <c:v>0.7208</c:v>
                </c:pt>
                <c:pt idx="25">
                  <c:v>0.721</c:v>
                </c:pt>
                <c:pt idx="26">
                  <c:v>0.7243</c:v>
                </c:pt>
                <c:pt idx="27">
                  <c:v>0.7266</c:v>
                </c:pt>
                <c:pt idx="28">
                  <c:v>0.73</c:v>
                </c:pt>
                <c:pt idx="29">
                  <c:v>0.7325</c:v>
                </c:pt>
                <c:pt idx="30">
                  <c:v>0.7333</c:v>
                </c:pt>
                <c:pt idx="31">
                  <c:v>0.7383</c:v>
                </c:pt>
                <c:pt idx="32">
                  <c:v>0.7405</c:v>
                </c:pt>
                <c:pt idx="33">
                  <c:v>0.7443</c:v>
                </c:pt>
                <c:pt idx="34">
                  <c:v>0.7444</c:v>
                </c:pt>
                <c:pt idx="35">
                  <c:v>0.7588</c:v>
                </c:pt>
                <c:pt idx="36">
                  <c:v>0.7691</c:v>
                </c:pt>
                <c:pt idx="37">
                  <c:v>0.773</c:v>
                </c:pt>
                <c:pt idx="38">
                  <c:v>0.778</c:v>
                </c:pt>
                <c:pt idx="39">
                  <c:v>0.7798</c:v>
                </c:pt>
                <c:pt idx="40">
                  <c:v>0.7809</c:v>
                </c:pt>
                <c:pt idx="41">
                  <c:v>0.785</c:v>
                </c:pt>
                <c:pt idx="42">
                  <c:v>0.8025</c:v>
                </c:pt>
                <c:pt idx="43">
                  <c:v>0.8165</c:v>
                </c:pt>
                <c:pt idx="44">
                  <c:v>0.8374</c:v>
                </c:pt>
                <c:pt idx="45">
                  <c:v>0.8453</c:v>
                </c:pt>
                <c:pt idx="46">
                  <c:v>0.8594</c:v>
                </c:pt>
              </c:numCache>
            </c:numRef>
          </c:val>
        </c:ser>
        <c:dLbls>
          <c:showLegendKey val="0"/>
          <c:showVal val="0"/>
          <c:showCatName val="0"/>
          <c:showSerName val="0"/>
          <c:showPercent val="0"/>
          <c:showBubbleSize val="0"/>
        </c:dLbls>
        <c:gapWidth val="150"/>
        <c:axId val="2079135808"/>
        <c:axId val="2079138976"/>
      </c:barChart>
      <c:catAx>
        <c:axId val="2079135808"/>
        <c:scaling>
          <c:orientation val="minMax"/>
        </c:scaling>
        <c:delete val="0"/>
        <c:axPos val="l"/>
        <c:numFmt formatCode="General" sourceLinked="0"/>
        <c:majorTickMark val="out"/>
        <c:minorTickMark val="none"/>
        <c:tickLblPos val="nextTo"/>
        <c:txPr>
          <a:bodyPr/>
          <a:lstStyle/>
          <a:p>
            <a:pPr>
              <a:defRPr lang="da-DK"/>
            </a:pPr>
            <a:endParaRPr lang="en-US"/>
          </a:p>
        </c:txPr>
        <c:crossAx val="2079138976"/>
        <c:crosses val="autoZero"/>
        <c:auto val="1"/>
        <c:lblAlgn val="ctr"/>
        <c:lblOffset val="100"/>
        <c:noMultiLvlLbl val="0"/>
      </c:catAx>
      <c:valAx>
        <c:axId val="2079138976"/>
        <c:scaling>
          <c:orientation val="minMax"/>
        </c:scaling>
        <c:delete val="0"/>
        <c:axPos val="b"/>
        <c:majorGridlines/>
        <c:title>
          <c:tx>
            <c:rich>
              <a:bodyPr/>
              <a:lstStyle/>
              <a:p>
                <a:pPr>
                  <a:defRPr lang="da-DK"/>
                </a:pPr>
                <a:r>
                  <a:rPr lang="en-US"/>
                  <a:t>Score (0= Inequality / 1= equality)</a:t>
                </a:r>
              </a:p>
            </c:rich>
          </c:tx>
          <c:layout>
            <c:manualLayout>
              <c:xMode val="edge"/>
              <c:yMode val="edge"/>
              <c:x val="0.303957482493112"/>
              <c:y val="0.963541725435027"/>
            </c:manualLayout>
          </c:layout>
          <c:overlay val="0"/>
        </c:title>
        <c:numFmt formatCode="General" sourceLinked="1"/>
        <c:majorTickMark val="out"/>
        <c:minorTickMark val="none"/>
        <c:tickLblPos val="nextTo"/>
        <c:txPr>
          <a:bodyPr/>
          <a:lstStyle/>
          <a:p>
            <a:pPr>
              <a:defRPr lang="da-DK"/>
            </a:pPr>
            <a:endParaRPr lang="en-US"/>
          </a:p>
        </c:txPr>
        <c:crossAx val="2079135808"/>
        <c:crosses val="autoZero"/>
        <c:crossBetween val="between"/>
      </c:valAx>
    </c:plotArea>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clustered"/>
        <c:varyColors val="0"/>
        <c:ser>
          <c:idx val="0"/>
          <c:order val="0"/>
          <c:tx>
            <c:v>Females</c:v>
          </c:tx>
          <c:invertIfNegative val="0"/>
          <c:cat>
            <c:strRef>
              <c:f>Figure6!$A$21:$A$69</c:f>
              <c:strCache>
                <c:ptCount val="49"/>
                <c:pt idx="0">
                  <c:v>Tajikistan</c:v>
                </c:pt>
                <c:pt idx="1">
                  <c:v>Uzbekistan</c:v>
                </c:pt>
                <c:pt idx="2">
                  <c:v>Azerbaijan</c:v>
                </c:pt>
                <c:pt idx="3">
                  <c:v>Moldova (Republic of)</c:v>
                </c:pt>
                <c:pt idx="4">
                  <c:v>Kyrgyzstan</c:v>
                </c:pt>
                <c:pt idx="5">
                  <c:v>Georgia</c:v>
                </c:pt>
                <c:pt idx="6">
                  <c:v>TFYR of Macedonia</c:v>
                </c:pt>
                <c:pt idx="7">
                  <c:v>Armenia</c:v>
                </c:pt>
                <c:pt idx="8">
                  <c:v>Liechtenstein</c:v>
                </c:pt>
                <c:pt idx="9">
                  <c:v>Turkey</c:v>
                </c:pt>
                <c:pt idx="10">
                  <c:v>Cyprus</c:v>
                </c:pt>
                <c:pt idx="11">
                  <c:v>Luxembourg</c:v>
                </c:pt>
                <c:pt idx="12">
                  <c:v>Serbia</c:v>
                </c:pt>
                <c:pt idx="13">
                  <c:v>Bulgaria</c:v>
                </c:pt>
                <c:pt idx="14">
                  <c:v>Romania</c:v>
                </c:pt>
                <c:pt idx="15">
                  <c:v>Russian Federation</c:v>
                </c:pt>
                <c:pt idx="16">
                  <c:v>Malta</c:v>
                </c:pt>
                <c:pt idx="17">
                  <c:v>Ukraine</c:v>
                </c:pt>
                <c:pt idx="18">
                  <c:v>Croatia</c:v>
                </c:pt>
                <c:pt idx="19">
                  <c:v>Kazakhstan</c:v>
                </c:pt>
                <c:pt idx="20">
                  <c:v>Montenegro</c:v>
                </c:pt>
                <c:pt idx="21">
                  <c:v>Slovakia</c:v>
                </c:pt>
                <c:pt idx="22">
                  <c:v>Switzerland</c:v>
                </c:pt>
                <c:pt idx="23">
                  <c:v>Hungary</c:v>
                </c:pt>
                <c:pt idx="24">
                  <c:v>Austria</c:v>
                </c:pt>
                <c:pt idx="25">
                  <c:v>San Marino</c:v>
                </c:pt>
                <c:pt idx="26">
                  <c:v>Israel</c:v>
                </c:pt>
                <c:pt idx="27">
                  <c:v>Belarus</c:v>
                </c:pt>
                <c:pt idx="28">
                  <c:v>Germany</c:v>
                </c:pt>
                <c:pt idx="29">
                  <c:v>France</c:v>
                </c:pt>
                <c:pt idx="30">
                  <c:v>Latvia</c:v>
                </c:pt>
                <c:pt idx="31">
                  <c:v>Poland</c:v>
                </c:pt>
                <c:pt idx="32">
                  <c:v>Belgium</c:v>
                </c:pt>
                <c:pt idx="33">
                  <c:v>Portugal</c:v>
                </c:pt>
                <c:pt idx="34">
                  <c:v>Greece</c:v>
                </c:pt>
                <c:pt idx="35">
                  <c:v>Sweden</c:v>
                </c:pt>
                <c:pt idx="36">
                  <c:v>United Kingdom</c:v>
                </c:pt>
                <c:pt idx="37">
                  <c:v>Italy</c:v>
                </c:pt>
                <c:pt idx="38">
                  <c:v>Czech Republic</c:v>
                </c:pt>
                <c:pt idx="39">
                  <c:v>Lithuania</c:v>
                </c:pt>
                <c:pt idx="40">
                  <c:v>Estonia</c:v>
                </c:pt>
                <c:pt idx="41">
                  <c:v>Spain</c:v>
                </c:pt>
                <c:pt idx="42">
                  <c:v>Denmark</c:v>
                </c:pt>
                <c:pt idx="43">
                  <c:v>Finland</c:v>
                </c:pt>
                <c:pt idx="44">
                  <c:v>Slovenia</c:v>
                </c:pt>
                <c:pt idx="45">
                  <c:v>Netherlands</c:v>
                </c:pt>
                <c:pt idx="46">
                  <c:v>Norway</c:v>
                </c:pt>
                <c:pt idx="47">
                  <c:v>Ireland</c:v>
                </c:pt>
                <c:pt idx="48">
                  <c:v>Iceland</c:v>
                </c:pt>
              </c:strCache>
            </c:strRef>
          </c:cat>
          <c:val>
            <c:numRef>
              <c:f>Figure6!$B$21:$B$69</c:f>
              <c:numCache>
                <c:formatCode>General</c:formatCode>
                <c:ptCount val="49"/>
                <c:pt idx="0">
                  <c:v>10.4</c:v>
                </c:pt>
                <c:pt idx="1">
                  <c:v>11.3</c:v>
                </c:pt>
                <c:pt idx="2">
                  <c:v>11.6</c:v>
                </c:pt>
                <c:pt idx="3">
                  <c:v>12.2</c:v>
                </c:pt>
                <c:pt idx="4">
                  <c:v>12.7</c:v>
                </c:pt>
                <c:pt idx="5">
                  <c:v>12.8</c:v>
                </c:pt>
                <c:pt idx="6">
                  <c:v>13.4</c:v>
                </c:pt>
                <c:pt idx="7">
                  <c:v>13.6</c:v>
                </c:pt>
                <c:pt idx="8">
                  <c:v>13.8</c:v>
                </c:pt>
                <c:pt idx="9">
                  <c:v>13.8</c:v>
                </c:pt>
                <c:pt idx="10">
                  <c:v>14.0</c:v>
                </c:pt>
                <c:pt idx="11">
                  <c:v>14.0</c:v>
                </c:pt>
                <c:pt idx="12">
                  <c:v>14.0</c:v>
                </c:pt>
                <c:pt idx="13">
                  <c:v>14.5</c:v>
                </c:pt>
                <c:pt idx="14">
                  <c:v>14.5</c:v>
                </c:pt>
                <c:pt idx="15">
                  <c:v>14.5</c:v>
                </c:pt>
                <c:pt idx="16">
                  <c:v>14.7</c:v>
                </c:pt>
                <c:pt idx="17">
                  <c:v>15.1</c:v>
                </c:pt>
                <c:pt idx="18">
                  <c:v>15.2</c:v>
                </c:pt>
                <c:pt idx="19">
                  <c:v>15.3</c:v>
                </c:pt>
                <c:pt idx="20">
                  <c:v>15.5</c:v>
                </c:pt>
                <c:pt idx="21">
                  <c:v>15.6</c:v>
                </c:pt>
                <c:pt idx="22">
                  <c:v>15.6</c:v>
                </c:pt>
                <c:pt idx="23">
                  <c:v>15.7</c:v>
                </c:pt>
                <c:pt idx="24">
                  <c:v>15.9</c:v>
                </c:pt>
                <c:pt idx="25">
                  <c:v>15.9</c:v>
                </c:pt>
                <c:pt idx="26">
                  <c:v>16.1</c:v>
                </c:pt>
                <c:pt idx="27">
                  <c:v>16.2</c:v>
                </c:pt>
                <c:pt idx="28">
                  <c:v>16.2</c:v>
                </c:pt>
                <c:pt idx="29">
                  <c:v>16.3</c:v>
                </c:pt>
                <c:pt idx="30">
                  <c:v>16.3</c:v>
                </c:pt>
                <c:pt idx="31">
                  <c:v>16.3</c:v>
                </c:pt>
                <c:pt idx="32">
                  <c:v>16.5</c:v>
                </c:pt>
                <c:pt idx="33">
                  <c:v>16.5</c:v>
                </c:pt>
                <c:pt idx="34">
                  <c:v>16.6</c:v>
                </c:pt>
                <c:pt idx="35">
                  <c:v>16.6</c:v>
                </c:pt>
                <c:pt idx="36">
                  <c:v>16.7</c:v>
                </c:pt>
                <c:pt idx="37">
                  <c:v>16.8</c:v>
                </c:pt>
                <c:pt idx="38">
                  <c:v>16.9</c:v>
                </c:pt>
                <c:pt idx="39">
                  <c:v>17.3</c:v>
                </c:pt>
                <c:pt idx="40">
                  <c:v>17.5</c:v>
                </c:pt>
                <c:pt idx="41">
                  <c:v>17.5</c:v>
                </c:pt>
                <c:pt idx="42">
                  <c:v>17.6</c:v>
                </c:pt>
                <c:pt idx="43">
                  <c:v>17.6</c:v>
                </c:pt>
                <c:pt idx="44">
                  <c:v>17.9</c:v>
                </c:pt>
                <c:pt idx="45">
                  <c:v>18.0</c:v>
                </c:pt>
                <c:pt idx="46">
                  <c:v>18.2</c:v>
                </c:pt>
                <c:pt idx="47">
                  <c:v>18.5</c:v>
                </c:pt>
                <c:pt idx="48">
                  <c:v>19.9</c:v>
                </c:pt>
              </c:numCache>
            </c:numRef>
          </c:val>
        </c:ser>
        <c:dLbls>
          <c:showLegendKey val="0"/>
          <c:showVal val="0"/>
          <c:showCatName val="0"/>
          <c:showSerName val="0"/>
          <c:showPercent val="0"/>
          <c:showBubbleSize val="0"/>
        </c:dLbls>
        <c:gapWidth val="150"/>
        <c:axId val="2079163664"/>
        <c:axId val="2079166912"/>
      </c:barChart>
      <c:catAx>
        <c:axId val="2079163664"/>
        <c:scaling>
          <c:orientation val="minMax"/>
        </c:scaling>
        <c:delete val="0"/>
        <c:axPos val="l"/>
        <c:numFmt formatCode="General" sourceLinked="1"/>
        <c:majorTickMark val="out"/>
        <c:minorTickMark val="none"/>
        <c:tickLblPos val="nextTo"/>
        <c:crossAx val="2079166912"/>
        <c:crosses val="autoZero"/>
        <c:auto val="1"/>
        <c:lblAlgn val="ctr"/>
        <c:lblOffset val="100"/>
        <c:noMultiLvlLbl val="0"/>
      </c:catAx>
      <c:valAx>
        <c:axId val="2079166912"/>
        <c:scaling>
          <c:orientation val="minMax"/>
          <c:max val="20.0"/>
        </c:scaling>
        <c:delete val="0"/>
        <c:axPos val="b"/>
        <c:majorGridlines/>
        <c:numFmt formatCode="General" sourceLinked="1"/>
        <c:majorTickMark val="out"/>
        <c:minorTickMark val="none"/>
        <c:tickLblPos val="nextTo"/>
        <c:crossAx val="2079163664"/>
        <c:crosses val="autoZero"/>
        <c:crossBetween val="between"/>
      </c:valAx>
    </c:plotArea>
    <c:plotVisOnly val="1"/>
    <c:dispBlanksAs val="gap"/>
    <c:showDLblsOverMax val="0"/>
  </c:chart>
  <c:printSettings>
    <c:headerFooter/>
    <c:pageMargins b="1.0" l="0.75" r="0.75" t="1.0"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clustered"/>
        <c:varyColors val="0"/>
        <c:ser>
          <c:idx val="0"/>
          <c:order val="0"/>
          <c:tx>
            <c:v>Females</c:v>
          </c:tx>
          <c:invertIfNegative val="0"/>
          <c:cat>
            <c:strRef>
              <c:f>Figure7!$A$17:$A$65</c:f>
              <c:strCache>
                <c:ptCount val="49"/>
                <c:pt idx="0">
                  <c:v>Turkey</c:v>
                </c:pt>
                <c:pt idx="1">
                  <c:v>Bosnia and Herzegovina</c:v>
                </c:pt>
                <c:pt idx="2">
                  <c:v>TFYR of Macedonia</c:v>
                </c:pt>
                <c:pt idx="3">
                  <c:v>Portugal</c:v>
                </c:pt>
                <c:pt idx="4">
                  <c:v>Austria</c:v>
                </c:pt>
                <c:pt idx="5">
                  <c:v>Albania</c:v>
                </c:pt>
                <c:pt idx="6">
                  <c:v>Serbia</c:v>
                </c:pt>
                <c:pt idx="7">
                  <c:v>Kyrgyzstan</c:v>
                </c:pt>
                <c:pt idx="8">
                  <c:v>Malta</c:v>
                </c:pt>
                <c:pt idx="9">
                  <c:v>Spain</c:v>
                </c:pt>
                <c:pt idx="10">
                  <c:v>Uzbekistan</c:v>
                </c:pt>
                <c:pt idx="11">
                  <c:v>Moldova (Republic of)</c:v>
                </c:pt>
                <c:pt idx="12">
                  <c:v>Italy</c:v>
                </c:pt>
                <c:pt idx="13">
                  <c:v>Greece</c:v>
                </c:pt>
                <c:pt idx="14">
                  <c:v>Montenegro</c:v>
                </c:pt>
                <c:pt idx="15">
                  <c:v>Tajikistan</c:v>
                </c:pt>
                <c:pt idx="16">
                  <c:v>Kazakhstan</c:v>
                </c:pt>
                <c:pt idx="17">
                  <c:v>Finland</c:v>
                </c:pt>
                <c:pt idx="18">
                  <c:v>Romania</c:v>
                </c:pt>
                <c:pt idx="19">
                  <c:v>Azerbaijan</c:v>
                </c:pt>
                <c:pt idx="20">
                  <c:v>Belgium</c:v>
                </c:pt>
                <c:pt idx="21">
                  <c:v>Croatia</c:v>
                </c:pt>
                <c:pt idx="22">
                  <c:v>Bulgaria</c:v>
                </c:pt>
                <c:pt idx="23">
                  <c:v>Cyprus</c:v>
                </c:pt>
                <c:pt idx="24">
                  <c:v>Armenia</c:v>
                </c:pt>
                <c:pt idx="25">
                  <c:v>Iceland</c:v>
                </c:pt>
                <c:pt idx="26">
                  <c:v>France</c:v>
                </c:pt>
                <c:pt idx="27">
                  <c:v>Luxembourg</c:v>
                </c:pt>
                <c:pt idx="28">
                  <c:v>Hungary</c:v>
                </c:pt>
                <c:pt idx="29">
                  <c:v>Ukraine</c:v>
                </c:pt>
                <c:pt idx="30">
                  <c:v>Belarus</c:v>
                </c:pt>
                <c:pt idx="31">
                  <c:v>Latvia</c:v>
                </c:pt>
                <c:pt idx="32">
                  <c:v>Switzerland</c:v>
                </c:pt>
                <c:pt idx="33">
                  <c:v>Netherlands</c:v>
                </c:pt>
                <c:pt idx="34">
                  <c:v>Slovakia</c:v>
                </c:pt>
                <c:pt idx="35">
                  <c:v>Ireland</c:v>
                </c:pt>
                <c:pt idx="36">
                  <c:v>Russian Federation</c:v>
                </c:pt>
                <c:pt idx="37">
                  <c:v>Slovenia</c:v>
                </c:pt>
                <c:pt idx="38">
                  <c:v>Sweden</c:v>
                </c:pt>
                <c:pt idx="39">
                  <c:v>Denmark</c:v>
                </c:pt>
                <c:pt idx="40">
                  <c:v>Georgia</c:v>
                </c:pt>
                <c:pt idx="41">
                  <c:v>Poland</c:v>
                </c:pt>
                <c:pt idx="42">
                  <c:v>Czech Republic</c:v>
                </c:pt>
                <c:pt idx="43">
                  <c:v>Estonia</c:v>
                </c:pt>
                <c:pt idx="44">
                  <c:v>Lithuania</c:v>
                </c:pt>
                <c:pt idx="45">
                  <c:v>Germany</c:v>
                </c:pt>
                <c:pt idx="46">
                  <c:v>Israel</c:v>
                </c:pt>
                <c:pt idx="47">
                  <c:v>Norway</c:v>
                </c:pt>
                <c:pt idx="48">
                  <c:v>United Kingdom</c:v>
                </c:pt>
              </c:strCache>
            </c:strRef>
          </c:cat>
          <c:val>
            <c:numRef>
              <c:f>Figure7!$B$17:$B$65</c:f>
              <c:numCache>
                <c:formatCode>General</c:formatCode>
                <c:ptCount val="49"/>
                <c:pt idx="0">
                  <c:v>6.4</c:v>
                </c:pt>
                <c:pt idx="1">
                  <c:v>7.2</c:v>
                </c:pt>
                <c:pt idx="2">
                  <c:v>7.9</c:v>
                </c:pt>
                <c:pt idx="3">
                  <c:v>8.0</c:v>
                </c:pt>
                <c:pt idx="4">
                  <c:v>8.9</c:v>
                </c:pt>
                <c:pt idx="5">
                  <c:v>9.1</c:v>
                </c:pt>
                <c:pt idx="6">
                  <c:v>9.2</c:v>
                </c:pt>
                <c:pt idx="7">
                  <c:v>9.3</c:v>
                </c:pt>
                <c:pt idx="8">
                  <c:v>9.5</c:v>
                </c:pt>
                <c:pt idx="9">
                  <c:v>9.5</c:v>
                </c:pt>
                <c:pt idx="10">
                  <c:v>9.5</c:v>
                </c:pt>
                <c:pt idx="11">
                  <c:v>9.6</c:v>
                </c:pt>
                <c:pt idx="12">
                  <c:v>9.7</c:v>
                </c:pt>
                <c:pt idx="13">
                  <c:v>9.9</c:v>
                </c:pt>
                <c:pt idx="14">
                  <c:v>9.9</c:v>
                </c:pt>
                <c:pt idx="15">
                  <c:v>10.0</c:v>
                </c:pt>
                <c:pt idx="16">
                  <c:v>10.2</c:v>
                </c:pt>
                <c:pt idx="17">
                  <c:v>10.3</c:v>
                </c:pt>
                <c:pt idx="18">
                  <c:v>10.4</c:v>
                </c:pt>
                <c:pt idx="19">
                  <c:v>10.5</c:v>
                </c:pt>
                <c:pt idx="20">
                  <c:v>10.5</c:v>
                </c:pt>
                <c:pt idx="21">
                  <c:v>10.5</c:v>
                </c:pt>
                <c:pt idx="22">
                  <c:v>10.6</c:v>
                </c:pt>
                <c:pt idx="23">
                  <c:v>10.7</c:v>
                </c:pt>
                <c:pt idx="24">
                  <c:v>10.8</c:v>
                </c:pt>
                <c:pt idx="25">
                  <c:v>10.8</c:v>
                </c:pt>
                <c:pt idx="26">
                  <c:v>10.9</c:v>
                </c:pt>
                <c:pt idx="27">
                  <c:v>10.9</c:v>
                </c:pt>
                <c:pt idx="28">
                  <c:v>11.2</c:v>
                </c:pt>
                <c:pt idx="29">
                  <c:v>11.2</c:v>
                </c:pt>
                <c:pt idx="30">
                  <c:v>11.4</c:v>
                </c:pt>
                <c:pt idx="31">
                  <c:v>11.5</c:v>
                </c:pt>
                <c:pt idx="32">
                  <c:v>11.5</c:v>
                </c:pt>
                <c:pt idx="33">
                  <c:v>11.6</c:v>
                </c:pt>
                <c:pt idx="34">
                  <c:v>11.6</c:v>
                </c:pt>
                <c:pt idx="35">
                  <c:v>11.7</c:v>
                </c:pt>
                <c:pt idx="36">
                  <c:v>11.7</c:v>
                </c:pt>
                <c:pt idx="37">
                  <c:v>11.8</c:v>
                </c:pt>
                <c:pt idx="38">
                  <c:v>11.8</c:v>
                </c:pt>
                <c:pt idx="39">
                  <c:v>11.9</c:v>
                </c:pt>
                <c:pt idx="40">
                  <c:v>11.9</c:v>
                </c:pt>
                <c:pt idx="41">
                  <c:v>11.9</c:v>
                </c:pt>
                <c:pt idx="42">
                  <c:v>12.1</c:v>
                </c:pt>
                <c:pt idx="43">
                  <c:v>12.3</c:v>
                </c:pt>
                <c:pt idx="44">
                  <c:v>12.3</c:v>
                </c:pt>
                <c:pt idx="45">
                  <c:v>12.6</c:v>
                </c:pt>
                <c:pt idx="46">
                  <c:v>12.6</c:v>
                </c:pt>
                <c:pt idx="47">
                  <c:v>12.7</c:v>
                </c:pt>
                <c:pt idx="48">
                  <c:v>12.8</c:v>
                </c:pt>
              </c:numCache>
            </c:numRef>
          </c:val>
        </c:ser>
        <c:dLbls>
          <c:showLegendKey val="0"/>
          <c:showVal val="0"/>
          <c:showCatName val="0"/>
          <c:showSerName val="0"/>
          <c:showPercent val="0"/>
          <c:showBubbleSize val="0"/>
        </c:dLbls>
        <c:gapWidth val="150"/>
        <c:axId val="2079220016"/>
        <c:axId val="2079223264"/>
      </c:barChart>
      <c:catAx>
        <c:axId val="2079220016"/>
        <c:scaling>
          <c:orientation val="minMax"/>
        </c:scaling>
        <c:delete val="0"/>
        <c:axPos val="l"/>
        <c:numFmt formatCode="General" sourceLinked="1"/>
        <c:majorTickMark val="out"/>
        <c:minorTickMark val="none"/>
        <c:tickLblPos val="nextTo"/>
        <c:crossAx val="2079223264"/>
        <c:crosses val="autoZero"/>
        <c:auto val="1"/>
        <c:lblAlgn val="ctr"/>
        <c:lblOffset val="100"/>
        <c:noMultiLvlLbl val="0"/>
      </c:catAx>
      <c:valAx>
        <c:axId val="2079223264"/>
        <c:scaling>
          <c:orientation val="minMax"/>
        </c:scaling>
        <c:delete val="0"/>
        <c:axPos val="b"/>
        <c:majorGridlines/>
        <c:numFmt formatCode="General" sourceLinked="1"/>
        <c:majorTickMark val="out"/>
        <c:minorTickMark val="none"/>
        <c:tickLblPos val="nextTo"/>
        <c:crossAx val="2079220016"/>
        <c:crosses val="autoZero"/>
        <c:crossBetween val="between"/>
      </c:valAx>
    </c:plotArea>
    <c:plotVisOnly val="1"/>
    <c:dispBlanksAs val="gap"/>
    <c:showDLblsOverMax val="0"/>
  </c:chart>
  <c:printSettings>
    <c:headerFooter/>
    <c:pageMargins b="1.0" l="0.75" r="0.75" t="1.0"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Female</c:v>
          </c:tx>
          <c:invertIfNegative val="0"/>
          <c:cat>
            <c:strRef>
              <c:f>Figure8!$A$5:$A$52</c:f>
              <c:strCache>
                <c:ptCount val="48"/>
                <c:pt idx="0">
                  <c:v>Turkey</c:v>
                </c:pt>
                <c:pt idx="1">
                  <c:v>Bosnia and Herzegovina</c:v>
                </c:pt>
                <c:pt idx="2">
                  <c:v>Republic of Moldova</c:v>
                </c:pt>
                <c:pt idx="3">
                  <c:v>Malta</c:v>
                </c:pt>
                <c:pt idx="4">
                  <c:v>Italy</c:v>
                </c:pt>
                <c:pt idx="5">
                  <c:v>MKDa</c:v>
                </c:pt>
                <c:pt idx="6">
                  <c:v>Greece</c:v>
                </c:pt>
                <c:pt idx="7">
                  <c:v>Hungary</c:v>
                </c:pt>
                <c:pt idx="8">
                  <c:v>Croatia</c:v>
                </c:pt>
                <c:pt idx="9">
                  <c:v>Albania</c:v>
                </c:pt>
                <c:pt idx="10">
                  <c:v>Turkmenistan</c:v>
                </c:pt>
                <c:pt idx="11">
                  <c:v>Belgium</c:v>
                </c:pt>
                <c:pt idx="12">
                  <c:v>Bulgaria</c:v>
                </c:pt>
                <c:pt idx="13">
                  <c:v>Uzbekistan</c:v>
                </c:pt>
                <c:pt idx="14">
                  <c:v>Romania</c:v>
                </c:pt>
                <c:pt idx="15">
                  <c:v>Poland</c:v>
                </c:pt>
                <c:pt idx="16">
                  <c:v>Belarus</c:v>
                </c:pt>
                <c:pt idx="17">
                  <c:v>Czech Republic</c:v>
                </c:pt>
                <c:pt idx="18">
                  <c:v>Luxembourg</c:v>
                </c:pt>
                <c:pt idx="19">
                  <c:v>France</c:v>
                </c:pt>
                <c:pt idx="20">
                  <c:v>Slovakia</c:v>
                </c:pt>
                <c:pt idx="21">
                  <c:v>Armenia</c:v>
                </c:pt>
                <c:pt idx="22">
                  <c:v>Slovenia</c:v>
                </c:pt>
                <c:pt idx="23">
                  <c:v>Spain</c:v>
                </c:pt>
                <c:pt idx="24">
                  <c:v>Ireland</c:v>
                </c:pt>
                <c:pt idx="25">
                  <c:v>Ukraine</c:v>
                </c:pt>
                <c:pt idx="26">
                  <c:v>Germany</c:v>
                </c:pt>
                <c:pt idx="27">
                  <c:v>Latvia</c:v>
                </c:pt>
                <c:pt idx="28">
                  <c:v>Austria</c:v>
                </c:pt>
                <c:pt idx="29">
                  <c:v>Portugal</c:v>
                </c:pt>
                <c:pt idx="30">
                  <c:v>United Kingdom</c:v>
                </c:pt>
                <c:pt idx="31">
                  <c:v>Kyrgyzstan</c:v>
                </c:pt>
                <c:pt idx="32">
                  <c:v>Lithuania</c:v>
                </c:pt>
                <c:pt idx="33">
                  <c:v>Cyprus</c:v>
                </c:pt>
                <c:pt idx="34">
                  <c:v>Finland</c:v>
                </c:pt>
                <c:pt idx="35">
                  <c:v>Estonia</c:v>
                </c:pt>
                <c:pt idx="36">
                  <c:v>Georgia</c:v>
                </c:pt>
                <c:pt idx="37">
                  <c:v>Russian Federation</c:v>
                </c:pt>
                <c:pt idx="38">
                  <c:v>Israel</c:v>
                </c:pt>
                <c:pt idx="39">
                  <c:v>Tajikistan</c:v>
                </c:pt>
                <c:pt idx="40">
                  <c:v>Denmark</c:v>
                </c:pt>
                <c:pt idx="41">
                  <c:v>Sweden</c:v>
                </c:pt>
                <c:pt idx="42">
                  <c:v>Switzerland</c:v>
                </c:pt>
                <c:pt idx="43">
                  <c:v>Norway</c:v>
                </c:pt>
                <c:pt idx="44">
                  <c:v>Azerbaijan</c:v>
                </c:pt>
                <c:pt idx="45">
                  <c:v>Kazakhstan</c:v>
                </c:pt>
                <c:pt idx="46">
                  <c:v>Iceland</c:v>
                </c:pt>
                <c:pt idx="47">
                  <c:v>Netherlands</c:v>
                </c:pt>
              </c:strCache>
            </c:strRef>
          </c:cat>
          <c:val>
            <c:numRef>
              <c:f>Figure8!$B$5:$B$52</c:f>
              <c:numCache>
                <c:formatCode>General</c:formatCode>
                <c:ptCount val="48"/>
                <c:pt idx="0">
                  <c:v>29.39999962</c:v>
                </c:pt>
                <c:pt idx="1">
                  <c:v>34.09999847</c:v>
                </c:pt>
                <c:pt idx="2">
                  <c:v>37.0</c:v>
                </c:pt>
                <c:pt idx="3">
                  <c:v>38.0</c:v>
                </c:pt>
                <c:pt idx="4">
                  <c:v>39.40000153</c:v>
                </c:pt>
                <c:pt idx="5">
                  <c:v>42.90000153</c:v>
                </c:pt>
                <c:pt idx="6">
                  <c:v>44.20000076</c:v>
                </c:pt>
                <c:pt idx="7">
                  <c:v>44.70000076</c:v>
                </c:pt>
                <c:pt idx="8">
                  <c:v>44.79999924</c:v>
                </c:pt>
                <c:pt idx="9">
                  <c:v>45.0</c:v>
                </c:pt>
                <c:pt idx="10">
                  <c:v>46.70000076</c:v>
                </c:pt>
                <c:pt idx="11">
                  <c:v>46.90000153</c:v>
                </c:pt>
                <c:pt idx="12">
                  <c:v>47.79999924</c:v>
                </c:pt>
                <c:pt idx="13">
                  <c:v>47.90000153</c:v>
                </c:pt>
                <c:pt idx="14">
                  <c:v>48.5</c:v>
                </c:pt>
                <c:pt idx="15">
                  <c:v>48.90000153</c:v>
                </c:pt>
                <c:pt idx="16">
                  <c:v>49.90000153</c:v>
                </c:pt>
                <c:pt idx="17">
                  <c:v>50.09999847</c:v>
                </c:pt>
                <c:pt idx="18">
                  <c:v>50.70000076</c:v>
                </c:pt>
                <c:pt idx="19">
                  <c:v>50.90000153</c:v>
                </c:pt>
                <c:pt idx="20">
                  <c:v>51.0</c:v>
                </c:pt>
                <c:pt idx="21">
                  <c:v>51.59999847</c:v>
                </c:pt>
                <c:pt idx="22">
                  <c:v>52.29999924</c:v>
                </c:pt>
                <c:pt idx="23">
                  <c:v>52.59999847</c:v>
                </c:pt>
                <c:pt idx="24">
                  <c:v>52.70000076</c:v>
                </c:pt>
                <c:pt idx="25">
                  <c:v>53.0</c:v>
                </c:pt>
                <c:pt idx="26">
                  <c:v>53.5</c:v>
                </c:pt>
                <c:pt idx="27">
                  <c:v>54.5</c:v>
                </c:pt>
                <c:pt idx="28">
                  <c:v>54.59999847</c:v>
                </c:pt>
                <c:pt idx="29">
                  <c:v>55.40000153</c:v>
                </c:pt>
                <c:pt idx="30">
                  <c:v>55.70000076</c:v>
                </c:pt>
                <c:pt idx="31">
                  <c:v>55.70000076</c:v>
                </c:pt>
                <c:pt idx="32">
                  <c:v>55.79999924</c:v>
                </c:pt>
                <c:pt idx="33">
                  <c:v>55.79999924</c:v>
                </c:pt>
                <c:pt idx="34">
                  <c:v>56.0</c:v>
                </c:pt>
                <c:pt idx="35">
                  <c:v>56.0</c:v>
                </c:pt>
                <c:pt idx="36">
                  <c:v>56.20000076</c:v>
                </c:pt>
                <c:pt idx="37">
                  <c:v>57.0</c:v>
                </c:pt>
                <c:pt idx="38">
                  <c:v>58.09999847</c:v>
                </c:pt>
                <c:pt idx="39">
                  <c:v>58.70000076</c:v>
                </c:pt>
                <c:pt idx="40">
                  <c:v>59.09999847</c:v>
                </c:pt>
                <c:pt idx="41">
                  <c:v>60.20000076</c:v>
                </c:pt>
                <c:pt idx="42">
                  <c:v>61.20000076</c:v>
                </c:pt>
                <c:pt idx="43">
                  <c:v>61.5</c:v>
                </c:pt>
                <c:pt idx="44">
                  <c:v>62.5</c:v>
                </c:pt>
                <c:pt idx="45">
                  <c:v>67.5</c:v>
                </c:pt>
                <c:pt idx="46">
                  <c:v>70.59999847</c:v>
                </c:pt>
                <c:pt idx="47">
                  <c:v>79.90000153</c:v>
                </c:pt>
              </c:numCache>
            </c:numRef>
          </c:val>
        </c:ser>
        <c:ser>
          <c:idx val="1"/>
          <c:order val="1"/>
          <c:tx>
            <c:v>Male</c:v>
          </c:tx>
          <c:invertIfNegative val="0"/>
          <c:cat>
            <c:strRef>
              <c:f>Figure8!$A$5:$A$52</c:f>
              <c:strCache>
                <c:ptCount val="48"/>
                <c:pt idx="0">
                  <c:v>Turkey</c:v>
                </c:pt>
                <c:pt idx="1">
                  <c:v>Bosnia and Herzegovina</c:v>
                </c:pt>
                <c:pt idx="2">
                  <c:v>Republic of Moldova</c:v>
                </c:pt>
                <c:pt idx="3">
                  <c:v>Malta</c:v>
                </c:pt>
                <c:pt idx="4">
                  <c:v>Italy</c:v>
                </c:pt>
                <c:pt idx="5">
                  <c:v>MKDa</c:v>
                </c:pt>
                <c:pt idx="6">
                  <c:v>Greece</c:v>
                </c:pt>
                <c:pt idx="7">
                  <c:v>Hungary</c:v>
                </c:pt>
                <c:pt idx="8">
                  <c:v>Croatia</c:v>
                </c:pt>
                <c:pt idx="9">
                  <c:v>Albania</c:v>
                </c:pt>
                <c:pt idx="10">
                  <c:v>Turkmenistan</c:v>
                </c:pt>
                <c:pt idx="11">
                  <c:v>Belgium</c:v>
                </c:pt>
                <c:pt idx="12">
                  <c:v>Bulgaria</c:v>
                </c:pt>
                <c:pt idx="13">
                  <c:v>Uzbekistan</c:v>
                </c:pt>
                <c:pt idx="14">
                  <c:v>Romania</c:v>
                </c:pt>
                <c:pt idx="15">
                  <c:v>Poland</c:v>
                </c:pt>
                <c:pt idx="16">
                  <c:v>Belarus</c:v>
                </c:pt>
                <c:pt idx="17">
                  <c:v>Czech Republic</c:v>
                </c:pt>
                <c:pt idx="18">
                  <c:v>Luxembourg</c:v>
                </c:pt>
                <c:pt idx="19">
                  <c:v>France</c:v>
                </c:pt>
                <c:pt idx="20">
                  <c:v>Slovakia</c:v>
                </c:pt>
                <c:pt idx="21">
                  <c:v>Armenia</c:v>
                </c:pt>
                <c:pt idx="22">
                  <c:v>Slovenia</c:v>
                </c:pt>
                <c:pt idx="23">
                  <c:v>Spain</c:v>
                </c:pt>
                <c:pt idx="24">
                  <c:v>Ireland</c:v>
                </c:pt>
                <c:pt idx="25">
                  <c:v>Ukraine</c:v>
                </c:pt>
                <c:pt idx="26">
                  <c:v>Germany</c:v>
                </c:pt>
                <c:pt idx="27">
                  <c:v>Latvia</c:v>
                </c:pt>
                <c:pt idx="28">
                  <c:v>Austria</c:v>
                </c:pt>
                <c:pt idx="29">
                  <c:v>Portugal</c:v>
                </c:pt>
                <c:pt idx="30">
                  <c:v>United Kingdom</c:v>
                </c:pt>
                <c:pt idx="31">
                  <c:v>Kyrgyzstan</c:v>
                </c:pt>
                <c:pt idx="32">
                  <c:v>Lithuania</c:v>
                </c:pt>
                <c:pt idx="33">
                  <c:v>Cyprus</c:v>
                </c:pt>
                <c:pt idx="34">
                  <c:v>Finland</c:v>
                </c:pt>
                <c:pt idx="35">
                  <c:v>Estonia</c:v>
                </c:pt>
                <c:pt idx="36">
                  <c:v>Georgia</c:v>
                </c:pt>
                <c:pt idx="37">
                  <c:v>Russian Federation</c:v>
                </c:pt>
                <c:pt idx="38">
                  <c:v>Israel</c:v>
                </c:pt>
                <c:pt idx="39">
                  <c:v>Tajikistan</c:v>
                </c:pt>
                <c:pt idx="40">
                  <c:v>Denmark</c:v>
                </c:pt>
                <c:pt idx="41">
                  <c:v>Sweden</c:v>
                </c:pt>
                <c:pt idx="42">
                  <c:v>Switzerland</c:v>
                </c:pt>
                <c:pt idx="43">
                  <c:v>Norway</c:v>
                </c:pt>
                <c:pt idx="44">
                  <c:v>Azerbaijan</c:v>
                </c:pt>
                <c:pt idx="45">
                  <c:v>Kazakhstan</c:v>
                </c:pt>
                <c:pt idx="46">
                  <c:v>Iceland</c:v>
                </c:pt>
                <c:pt idx="47">
                  <c:v>Netherlands</c:v>
                </c:pt>
              </c:strCache>
            </c:strRef>
          </c:cat>
          <c:val>
            <c:numRef>
              <c:f>Figure8!$C$5:$C$52</c:f>
              <c:numCache>
                <c:formatCode>General</c:formatCode>
                <c:ptCount val="48"/>
                <c:pt idx="0">
                  <c:v>70.80000305</c:v>
                </c:pt>
                <c:pt idx="1">
                  <c:v>57.20000076</c:v>
                </c:pt>
                <c:pt idx="2">
                  <c:v>43.29999924</c:v>
                </c:pt>
                <c:pt idx="3">
                  <c:v>66.5</c:v>
                </c:pt>
                <c:pt idx="4">
                  <c:v>59.40000153</c:v>
                </c:pt>
                <c:pt idx="5">
                  <c:v>67.30000305</c:v>
                </c:pt>
                <c:pt idx="6">
                  <c:v>62.59999847</c:v>
                </c:pt>
                <c:pt idx="7">
                  <c:v>59.90000153</c:v>
                </c:pt>
                <c:pt idx="8">
                  <c:v>58.5</c:v>
                </c:pt>
                <c:pt idx="9">
                  <c:v>65.40000153</c:v>
                </c:pt>
                <c:pt idx="10">
                  <c:v>76.5</c:v>
                </c:pt>
                <c:pt idx="11">
                  <c:v>59.40000153</c:v>
                </c:pt>
                <c:pt idx="12">
                  <c:v>58.79999924</c:v>
                </c:pt>
                <c:pt idx="13">
                  <c:v>75.19999695</c:v>
                </c:pt>
                <c:pt idx="14">
                  <c:v>64.69999695</c:v>
                </c:pt>
                <c:pt idx="15">
                  <c:v>64.80000305</c:v>
                </c:pt>
                <c:pt idx="16">
                  <c:v>62.70000076</c:v>
                </c:pt>
                <c:pt idx="17">
                  <c:v>67.80000305</c:v>
                </c:pt>
                <c:pt idx="18">
                  <c:v>64.90000153</c:v>
                </c:pt>
                <c:pt idx="19">
                  <c:v>61.79999924</c:v>
                </c:pt>
                <c:pt idx="20">
                  <c:v>68.69999695</c:v>
                </c:pt>
                <c:pt idx="21">
                  <c:v>73.40000153</c:v>
                </c:pt>
                <c:pt idx="22">
                  <c:v>63.5</c:v>
                </c:pt>
                <c:pt idx="23">
                  <c:v>66.5</c:v>
                </c:pt>
                <c:pt idx="24">
                  <c:v>67.90000153</c:v>
                </c:pt>
                <c:pt idx="25">
                  <c:v>66.59999847</c:v>
                </c:pt>
                <c:pt idx="26">
                  <c:v>66.40000153</c:v>
                </c:pt>
                <c:pt idx="27">
                  <c:v>67.09999847</c:v>
                </c:pt>
                <c:pt idx="28">
                  <c:v>67.69999695</c:v>
                </c:pt>
                <c:pt idx="29">
                  <c:v>67.19999695</c:v>
                </c:pt>
                <c:pt idx="30">
                  <c:v>68.80000305</c:v>
                </c:pt>
                <c:pt idx="31">
                  <c:v>79.0</c:v>
                </c:pt>
                <c:pt idx="32">
                  <c:v>66.30000305</c:v>
                </c:pt>
                <c:pt idx="33">
                  <c:v>70.80000305</c:v>
                </c:pt>
                <c:pt idx="34">
                  <c:v>64.30000305</c:v>
                </c:pt>
                <c:pt idx="35">
                  <c:v>68.69999695</c:v>
                </c:pt>
                <c:pt idx="36">
                  <c:v>74.69999695</c:v>
                </c:pt>
                <c:pt idx="37">
                  <c:v>71.40000153</c:v>
                </c:pt>
                <c:pt idx="38">
                  <c:v>69.5</c:v>
                </c:pt>
                <c:pt idx="39">
                  <c:v>76.90000153</c:v>
                </c:pt>
                <c:pt idx="40">
                  <c:v>67.5</c:v>
                </c:pt>
                <c:pt idx="41">
                  <c:v>68.09999847</c:v>
                </c:pt>
                <c:pt idx="42">
                  <c:v>75.30000305</c:v>
                </c:pt>
                <c:pt idx="43">
                  <c:v>69.5</c:v>
                </c:pt>
                <c:pt idx="44">
                  <c:v>68.90000153</c:v>
                </c:pt>
                <c:pt idx="45">
                  <c:v>77.5</c:v>
                </c:pt>
                <c:pt idx="46">
                  <c:v>77.30000305</c:v>
                </c:pt>
                <c:pt idx="47">
                  <c:v>87.30000305</c:v>
                </c:pt>
              </c:numCache>
            </c:numRef>
          </c:val>
        </c:ser>
        <c:dLbls>
          <c:showLegendKey val="0"/>
          <c:showVal val="0"/>
          <c:showCatName val="0"/>
          <c:showSerName val="0"/>
          <c:showPercent val="0"/>
          <c:showBubbleSize val="0"/>
        </c:dLbls>
        <c:gapWidth val="150"/>
        <c:axId val="2079269760"/>
        <c:axId val="2079273040"/>
      </c:barChart>
      <c:catAx>
        <c:axId val="2079269760"/>
        <c:scaling>
          <c:orientation val="minMax"/>
        </c:scaling>
        <c:delete val="0"/>
        <c:axPos val="l"/>
        <c:numFmt formatCode="General" sourceLinked="0"/>
        <c:majorTickMark val="out"/>
        <c:minorTickMark val="none"/>
        <c:tickLblPos val="nextTo"/>
        <c:txPr>
          <a:bodyPr/>
          <a:lstStyle/>
          <a:p>
            <a:pPr>
              <a:defRPr lang="da-DK"/>
            </a:pPr>
            <a:endParaRPr lang="en-US"/>
          </a:p>
        </c:txPr>
        <c:crossAx val="2079273040"/>
        <c:crosses val="autoZero"/>
        <c:auto val="1"/>
        <c:lblAlgn val="ctr"/>
        <c:lblOffset val="100"/>
        <c:noMultiLvlLbl val="0"/>
      </c:catAx>
      <c:valAx>
        <c:axId val="2079273040"/>
        <c:scaling>
          <c:orientation val="minMax"/>
        </c:scaling>
        <c:delete val="0"/>
        <c:axPos val="b"/>
        <c:majorGridlines/>
        <c:title>
          <c:tx>
            <c:rich>
              <a:bodyPr/>
              <a:lstStyle/>
              <a:p>
                <a:pPr>
                  <a:defRPr lang="da-DK"/>
                </a:pPr>
                <a:r>
                  <a:rPr lang="en-US"/>
                  <a:t>Labour Force Participation rate (% aged 15 and above),</a:t>
                </a:r>
                <a:r>
                  <a:rPr lang="en-US" baseline="0"/>
                  <a:t> </a:t>
                </a:r>
                <a:r>
                  <a:rPr lang="en-US"/>
                  <a:t>2012</a:t>
                </a:r>
              </a:p>
            </c:rich>
          </c:tx>
          <c:layout>
            <c:manualLayout>
              <c:xMode val="edge"/>
              <c:yMode val="edge"/>
              <c:x val="0.145729127045853"/>
              <c:y val="0.968293963254593"/>
            </c:manualLayout>
          </c:layout>
          <c:overlay val="0"/>
        </c:title>
        <c:numFmt formatCode="General" sourceLinked="1"/>
        <c:majorTickMark val="out"/>
        <c:minorTickMark val="none"/>
        <c:tickLblPos val="nextTo"/>
        <c:txPr>
          <a:bodyPr/>
          <a:lstStyle/>
          <a:p>
            <a:pPr>
              <a:defRPr lang="da-DK"/>
            </a:pPr>
            <a:endParaRPr lang="en-US"/>
          </a:p>
        </c:txPr>
        <c:crossAx val="2079269760"/>
        <c:crosses val="autoZero"/>
        <c:crossBetween val="between"/>
      </c:valAx>
    </c:plotArea>
    <c:legend>
      <c:legendPos val="r"/>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'[3]Female unemployment rate1'!$D$11</c:f>
              <c:strCache>
                <c:ptCount val="1"/>
                <c:pt idx="0">
                  <c:v>#REF!</c:v>
                </c:pt>
              </c:strCache>
            </c:strRef>
          </c:tx>
          <c:spPr>
            <a:solidFill>
              <a:schemeClr val="accent1"/>
            </a:solidFill>
            <a:ln>
              <a:noFill/>
            </a:ln>
            <a:effectLst/>
          </c:spPr>
          <c:invertIfNegative val="0"/>
          <c:cat>
            <c:numRef>
              <c:f>'[3]Female unemployment rate1'!$A$12:$A$41</c:f>
              <c:numCache>
                <c:formatCode>General</c:formatCode>
                <c:ptCount val="30"/>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numCache>
            </c:numRef>
          </c:cat>
          <c:val>
            <c:numRef>
              <c:f>'[3]Female unemployment rate1'!$D$12:$D$41</c:f>
              <c:numCache>
                <c:formatCode>General</c:formatCode>
                <c:ptCount val="30"/>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numCache>
            </c:numRef>
          </c:val>
        </c:ser>
        <c:ser>
          <c:idx val="1"/>
          <c:order val="1"/>
          <c:tx>
            <c:strRef>
              <c:f>'[3]Female unemployment rate1'!$E$11</c:f>
              <c:strCache>
                <c:ptCount val="1"/>
                <c:pt idx="0">
                  <c:v>#REF!</c:v>
                </c:pt>
              </c:strCache>
            </c:strRef>
          </c:tx>
          <c:spPr>
            <a:solidFill>
              <a:schemeClr val="accent2"/>
            </a:solidFill>
            <a:ln>
              <a:noFill/>
            </a:ln>
            <a:effectLst/>
          </c:spPr>
          <c:invertIfNegative val="0"/>
          <c:cat>
            <c:numRef>
              <c:f>'[3]Female unemployment rate1'!$A$12:$A$41</c:f>
              <c:numCache>
                <c:formatCode>General</c:formatCode>
                <c:ptCount val="30"/>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numCache>
            </c:numRef>
          </c:cat>
          <c:val>
            <c:numRef>
              <c:f>'[3]Female unemployment rate1'!$E$12:$E$41</c:f>
              <c:numCache>
                <c:formatCode>General</c:formatCode>
                <c:ptCount val="30"/>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numCache>
            </c:numRef>
          </c:val>
        </c:ser>
        <c:ser>
          <c:idx val="2"/>
          <c:order val="2"/>
          <c:tx>
            <c:strRef>
              <c:f>'[3]Female unemployment rate1'!$F$11</c:f>
              <c:strCache>
                <c:ptCount val="1"/>
                <c:pt idx="0">
                  <c:v>#REF!</c:v>
                </c:pt>
              </c:strCache>
            </c:strRef>
          </c:tx>
          <c:spPr>
            <a:solidFill>
              <a:schemeClr val="accent3"/>
            </a:solidFill>
            <a:ln>
              <a:noFill/>
            </a:ln>
            <a:effectLst/>
          </c:spPr>
          <c:invertIfNegative val="0"/>
          <c:cat>
            <c:numRef>
              <c:f>'[3]Female unemployment rate1'!$A$12:$A$41</c:f>
              <c:numCache>
                <c:formatCode>General</c:formatCode>
                <c:ptCount val="30"/>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numCache>
            </c:numRef>
          </c:cat>
          <c:val>
            <c:numRef>
              <c:f>'[3]Female unemployment rate1'!$F$12:$F$41</c:f>
              <c:numCache>
                <c:formatCode>General</c:formatCode>
                <c:ptCount val="30"/>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numCache>
            </c:numRef>
          </c:val>
        </c:ser>
        <c:dLbls>
          <c:showLegendKey val="0"/>
          <c:showVal val="0"/>
          <c:showCatName val="0"/>
          <c:showSerName val="0"/>
          <c:showPercent val="0"/>
          <c:showBubbleSize val="0"/>
        </c:dLbls>
        <c:gapWidth val="150"/>
        <c:axId val="2080070112"/>
        <c:axId val="2080073808"/>
      </c:barChart>
      <c:catAx>
        <c:axId val="20800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da-DK" sz="900" b="0" i="0" u="none" strike="noStrike" kern="1200" baseline="0">
                <a:solidFill>
                  <a:schemeClr val="tx1">
                    <a:lumMod val="65000"/>
                    <a:lumOff val="35000"/>
                  </a:schemeClr>
                </a:solidFill>
                <a:latin typeface="+mn-lt"/>
                <a:ea typeface="+mn-ea"/>
                <a:cs typeface="+mn-cs"/>
              </a:defRPr>
            </a:pPr>
            <a:endParaRPr lang="en-US"/>
          </a:p>
        </c:txPr>
        <c:crossAx val="2080073808"/>
        <c:crosses val="autoZero"/>
        <c:auto val="1"/>
        <c:lblAlgn val="ctr"/>
        <c:lblOffset val="100"/>
        <c:noMultiLvlLbl val="0"/>
      </c:catAx>
      <c:valAx>
        <c:axId val="2080073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a:lstStyle/>
              <a:p>
                <a:pPr>
                  <a:defRPr lang="da-DK"/>
                </a:pPr>
                <a:r>
                  <a:rPr lang="da-DK"/>
                  <a:t>percentage</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da-DK" sz="900" b="0" i="0" u="none" strike="noStrike" kern="1200" baseline="0">
                <a:solidFill>
                  <a:schemeClr val="tx1">
                    <a:lumMod val="65000"/>
                    <a:lumOff val="35000"/>
                  </a:schemeClr>
                </a:solidFill>
                <a:latin typeface="+mn-lt"/>
                <a:ea typeface="+mn-ea"/>
                <a:cs typeface="+mn-cs"/>
              </a:defRPr>
            </a:pPr>
            <a:endParaRPr lang="en-US"/>
          </a:p>
        </c:txPr>
        <c:crossAx val="208007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da-DK"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col"/>
        <c:grouping val="clustered"/>
        <c:varyColors val="0"/>
        <c:ser>
          <c:idx val="0"/>
          <c:order val="0"/>
          <c:tx>
            <c:v>Gender pay gap 2013</c:v>
          </c:tx>
          <c:invertIfNegative val="0"/>
          <c:cat>
            <c:strRef>
              <c:f>Figure10!$A$4:$A$33</c:f>
              <c:strCache>
                <c:ptCount val="30"/>
                <c:pt idx="0">
                  <c:v>EU27a</c:v>
                </c:pt>
                <c:pt idx="1">
                  <c:v>Belgium</c:v>
                </c:pt>
                <c:pt idx="2">
                  <c:v>Bulgaria</c:v>
                </c:pt>
                <c:pt idx="3">
                  <c:v>Czech Republic</c:v>
                </c:pt>
                <c:pt idx="4">
                  <c:v>Denmark</c:v>
                </c:pt>
                <c:pt idx="5">
                  <c:v>Germany</c:v>
                </c:pt>
                <c:pt idx="6">
                  <c:v>Estonia</c:v>
                </c:pt>
                <c:pt idx="7">
                  <c:v>Spain</c:v>
                </c:pt>
                <c:pt idx="8">
                  <c:v>France</c:v>
                </c:pt>
                <c:pt idx="9">
                  <c:v>Croatia</c:v>
                </c:pt>
                <c:pt idx="10">
                  <c:v>Italy</c:v>
                </c:pt>
                <c:pt idx="11">
                  <c:v>Cyprus</c:v>
                </c:pt>
                <c:pt idx="12">
                  <c:v>Latvia</c:v>
                </c:pt>
                <c:pt idx="13">
                  <c:v>Lithuania</c:v>
                </c:pt>
                <c:pt idx="14">
                  <c:v>Luxembourg</c:v>
                </c:pt>
                <c:pt idx="15">
                  <c:v>Hungary</c:v>
                </c:pt>
                <c:pt idx="16">
                  <c:v>Malta</c:v>
                </c:pt>
                <c:pt idx="17">
                  <c:v>Netherlands</c:v>
                </c:pt>
                <c:pt idx="18">
                  <c:v>Austria</c:v>
                </c:pt>
                <c:pt idx="19">
                  <c:v>Poland</c:v>
                </c:pt>
                <c:pt idx="20">
                  <c:v>Portugal</c:v>
                </c:pt>
                <c:pt idx="21">
                  <c:v>Romania</c:v>
                </c:pt>
                <c:pt idx="22">
                  <c:v>Slovenia</c:v>
                </c:pt>
                <c:pt idx="23">
                  <c:v>Slovakia</c:v>
                </c:pt>
                <c:pt idx="24">
                  <c:v>Finland</c:v>
                </c:pt>
                <c:pt idx="25">
                  <c:v>Sweden</c:v>
                </c:pt>
                <c:pt idx="26">
                  <c:v>United Kingdom</c:v>
                </c:pt>
                <c:pt idx="27">
                  <c:v>Iceland</c:v>
                </c:pt>
                <c:pt idx="28">
                  <c:v>Norway</c:v>
                </c:pt>
                <c:pt idx="29">
                  <c:v>Switzerland</c:v>
                </c:pt>
              </c:strCache>
            </c:strRef>
          </c:cat>
          <c:val>
            <c:numRef>
              <c:f>Figure10!$B$4:$B$33</c:f>
              <c:numCache>
                <c:formatCode>General</c:formatCode>
                <c:ptCount val="30"/>
                <c:pt idx="0">
                  <c:v>16.4</c:v>
                </c:pt>
                <c:pt idx="1">
                  <c:v>9.8</c:v>
                </c:pt>
                <c:pt idx="2">
                  <c:v>13.5</c:v>
                </c:pt>
                <c:pt idx="3">
                  <c:v>22.1</c:v>
                </c:pt>
                <c:pt idx="4">
                  <c:v>16.4</c:v>
                </c:pt>
                <c:pt idx="5">
                  <c:v>21.6</c:v>
                </c:pt>
                <c:pt idx="6">
                  <c:v>29.9</c:v>
                </c:pt>
                <c:pt idx="7">
                  <c:v>19.3</c:v>
                </c:pt>
                <c:pt idx="8">
                  <c:v>15.2</c:v>
                </c:pt>
                <c:pt idx="9">
                  <c:v>7.4</c:v>
                </c:pt>
                <c:pt idx="10">
                  <c:v>7.3</c:v>
                </c:pt>
                <c:pt idx="11">
                  <c:v>15.8</c:v>
                </c:pt>
                <c:pt idx="12">
                  <c:v>14.4</c:v>
                </c:pt>
                <c:pt idx="13">
                  <c:v>13.3</c:v>
                </c:pt>
                <c:pt idx="14">
                  <c:v>8.6</c:v>
                </c:pt>
                <c:pt idx="15">
                  <c:v>18.4</c:v>
                </c:pt>
                <c:pt idx="16">
                  <c:v>5.1</c:v>
                </c:pt>
                <c:pt idx="17">
                  <c:v>16.0</c:v>
                </c:pt>
                <c:pt idx="18">
                  <c:v>23.0</c:v>
                </c:pt>
                <c:pt idx="19">
                  <c:v>6.4</c:v>
                </c:pt>
                <c:pt idx="20">
                  <c:v>13.0</c:v>
                </c:pt>
                <c:pt idx="21">
                  <c:v>9.1</c:v>
                </c:pt>
                <c:pt idx="22">
                  <c:v>3.2</c:v>
                </c:pt>
                <c:pt idx="23">
                  <c:v>19.8</c:v>
                </c:pt>
                <c:pt idx="24">
                  <c:v>18.7</c:v>
                </c:pt>
                <c:pt idx="25">
                  <c:v>15.2</c:v>
                </c:pt>
                <c:pt idx="26">
                  <c:v>19.7</c:v>
                </c:pt>
                <c:pt idx="27">
                  <c:v>20.5</c:v>
                </c:pt>
                <c:pt idx="28">
                  <c:v>16.0</c:v>
                </c:pt>
                <c:pt idx="29">
                  <c:v>19.3</c:v>
                </c:pt>
              </c:numCache>
            </c:numRef>
          </c:val>
        </c:ser>
        <c:dLbls>
          <c:showLegendKey val="0"/>
          <c:showVal val="0"/>
          <c:showCatName val="0"/>
          <c:showSerName val="0"/>
          <c:showPercent val="0"/>
          <c:showBubbleSize val="0"/>
        </c:dLbls>
        <c:gapWidth val="150"/>
        <c:axId val="2080116176"/>
        <c:axId val="2080119264"/>
      </c:barChart>
      <c:catAx>
        <c:axId val="2080116176"/>
        <c:scaling>
          <c:orientation val="minMax"/>
        </c:scaling>
        <c:delete val="0"/>
        <c:axPos val="b"/>
        <c:numFmt formatCode="General" sourceLinked="0"/>
        <c:majorTickMark val="out"/>
        <c:minorTickMark val="none"/>
        <c:tickLblPos val="nextTo"/>
        <c:txPr>
          <a:bodyPr/>
          <a:lstStyle/>
          <a:p>
            <a:pPr>
              <a:defRPr lang="da-DK"/>
            </a:pPr>
            <a:endParaRPr lang="en-US"/>
          </a:p>
        </c:txPr>
        <c:crossAx val="2080119264"/>
        <c:crosses val="autoZero"/>
        <c:auto val="1"/>
        <c:lblAlgn val="ctr"/>
        <c:lblOffset val="100"/>
        <c:noMultiLvlLbl val="0"/>
      </c:catAx>
      <c:valAx>
        <c:axId val="2080119264"/>
        <c:scaling>
          <c:orientation val="minMax"/>
        </c:scaling>
        <c:delete val="0"/>
        <c:axPos val="l"/>
        <c:majorGridlines/>
        <c:numFmt formatCode="General" sourceLinked="1"/>
        <c:majorTickMark val="out"/>
        <c:minorTickMark val="none"/>
        <c:tickLblPos val="nextTo"/>
        <c:txPr>
          <a:bodyPr/>
          <a:lstStyle/>
          <a:p>
            <a:pPr>
              <a:defRPr lang="da-DK"/>
            </a:pPr>
            <a:endParaRPr lang="en-US"/>
          </a:p>
        </c:txPr>
        <c:crossAx val="2080116176"/>
        <c:crosses val="autoZero"/>
        <c:crossBetween val="between"/>
      </c:valAx>
    </c:plotArea>
    <c:legend>
      <c:legendPos val="r"/>
      <c:overlay val="0"/>
      <c:txPr>
        <a:bodyPr/>
        <a:lstStyle/>
        <a:p>
          <a:pPr>
            <a:defRPr lang="da-DK"/>
          </a:pPr>
          <a:endParaRPr lang="en-US"/>
        </a:p>
      </c:txPr>
    </c:legend>
    <c:plotVisOnly val="1"/>
    <c:dispBlanksAs val="gap"/>
    <c:showDLblsOverMax val="0"/>
  </c:chart>
  <c:printSettings>
    <c:headerFooter/>
    <c:pageMargins b="1.0" l="0.75" r="0.75" t="1.0"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[1]Figure9!$B$13</c:f>
              <c:strCache>
                <c:ptCount val="1"/>
                <c:pt idx="0">
                  <c:v>#REF!</c:v>
                </c:pt>
              </c:strCache>
            </c:strRef>
          </c:tx>
          <c:invertIfNegative val="0"/>
          <c:cat>
            <c:strRef>
              <c:f>Figure11!$A$15:$A$46</c:f>
              <c:strCache>
                <c:ptCount val="32"/>
                <c:pt idx="0">
                  <c:v>Iceland</c:v>
                </c:pt>
                <c:pt idx="1">
                  <c:v>Norway</c:v>
                </c:pt>
                <c:pt idx="2">
                  <c:v>Czech Republic</c:v>
                </c:pt>
                <c:pt idx="3">
                  <c:v>Finland</c:v>
                </c:pt>
                <c:pt idx="4">
                  <c:v>Netherlands</c:v>
                </c:pt>
                <c:pt idx="5">
                  <c:v>Switzerland</c:v>
                </c:pt>
                <c:pt idx="6">
                  <c:v>Sweden</c:v>
                </c:pt>
                <c:pt idx="7">
                  <c:v>France</c:v>
                </c:pt>
                <c:pt idx="8">
                  <c:v>Denmark</c:v>
                </c:pt>
                <c:pt idx="9">
                  <c:v>Luxembourg</c:v>
                </c:pt>
                <c:pt idx="10">
                  <c:v>Austria</c:v>
                </c:pt>
                <c:pt idx="11">
                  <c:v>Slovakia</c:v>
                </c:pt>
                <c:pt idx="12">
                  <c:v>Belgium</c:v>
                </c:pt>
                <c:pt idx="13">
                  <c:v>Slovenia</c:v>
                </c:pt>
                <c:pt idx="14">
                  <c:v>Germany</c:v>
                </c:pt>
                <c:pt idx="15">
                  <c:v>Estonia</c:v>
                </c:pt>
                <c:pt idx="16">
                  <c:v>Malta</c:v>
                </c:pt>
                <c:pt idx="17">
                  <c:v>United Kingdom</c:v>
                </c:pt>
                <c:pt idx="18">
                  <c:v>Poland</c:v>
                </c:pt>
                <c:pt idx="19">
                  <c:v>Spain</c:v>
                </c:pt>
                <c:pt idx="20">
                  <c:v>Portugal</c:v>
                </c:pt>
                <c:pt idx="21">
                  <c:v>Cyprus</c:v>
                </c:pt>
                <c:pt idx="22">
                  <c:v>Italy</c:v>
                </c:pt>
                <c:pt idx="23">
                  <c:v>Ireland</c:v>
                </c:pt>
                <c:pt idx="24">
                  <c:v>Croatia</c:v>
                </c:pt>
                <c:pt idx="25">
                  <c:v>Lithuania</c:v>
                </c:pt>
                <c:pt idx="26">
                  <c:v>Hungary</c:v>
                </c:pt>
                <c:pt idx="27">
                  <c:v>Latvia</c:v>
                </c:pt>
                <c:pt idx="28">
                  <c:v>Greece</c:v>
                </c:pt>
                <c:pt idx="29">
                  <c:v>Romania</c:v>
                </c:pt>
                <c:pt idx="30">
                  <c:v>Serbia</c:v>
                </c:pt>
                <c:pt idx="31">
                  <c:v>Bulgaria</c:v>
                </c:pt>
              </c:strCache>
            </c:strRef>
          </c:cat>
          <c:val>
            <c:numRef>
              <c:f>Figure11!$B$15:$B$46</c:f>
              <c:numCache>
                <c:formatCode>General</c:formatCode>
                <c:ptCount val="32"/>
                <c:pt idx="0">
                  <c:v>13.2</c:v>
                </c:pt>
                <c:pt idx="1">
                  <c:v>14.9</c:v>
                </c:pt>
                <c:pt idx="2">
                  <c:v>16.1</c:v>
                </c:pt>
                <c:pt idx="3">
                  <c:v>16.2</c:v>
                </c:pt>
                <c:pt idx="4">
                  <c:v>16.9</c:v>
                </c:pt>
                <c:pt idx="5">
                  <c:v>17.5</c:v>
                </c:pt>
                <c:pt idx="6">
                  <c:v>17.9</c:v>
                </c:pt>
                <c:pt idx="7">
                  <c:v>19.0</c:v>
                </c:pt>
                <c:pt idx="8">
                  <c:v>19.2</c:v>
                </c:pt>
                <c:pt idx="9">
                  <c:v>19.4</c:v>
                </c:pt>
                <c:pt idx="10">
                  <c:v>20.1</c:v>
                </c:pt>
                <c:pt idx="11">
                  <c:v>20.2</c:v>
                </c:pt>
                <c:pt idx="12">
                  <c:v>21.2</c:v>
                </c:pt>
                <c:pt idx="13">
                  <c:v>21.4</c:v>
                </c:pt>
                <c:pt idx="14">
                  <c:v>21.9</c:v>
                </c:pt>
                <c:pt idx="15">
                  <c:v>24.4</c:v>
                </c:pt>
                <c:pt idx="16">
                  <c:v>24.9</c:v>
                </c:pt>
                <c:pt idx="17">
                  <c:v>25.8</c:v>
                </c:pt>
                <c:pt idx="18">
                  <c:v>26.2</c:v>
                </c:pt>
                <c:pt idx="19">
                  <c:v>26.7</c:v>
                </c:pt>
                <c:pt idx="20">
                  <c:v>27.4</c:v>
                </c:pt>
                <c:pt idx="21">
                  <c:v>28.8</c:v>
                </c:pt>
                <c:pt idx="22">
                  <c:v>29.6</c:v>
                </c:pt>
                <c:pt idx="23">
                  <c:v>30.2</c:v>
                </c:pt>
                <c:pt idx="24">
                  <c:v>30.2</c:v>
                </c:pt>
                <c:pt idx="25">
                  <c:v>33.0</c:v>
                </c:pt>
                <c:pt idx="26">
                  <c:v>33.9</c:v>
                </c:pt>
                <c:pt idx="27">
                  <c:v>35.9</c:v>
                </c:pt>
                <c:pt idx="28">
                  <c:v>36.8</c:v>
                </c:pt>
                <c:pt idx="29">
                  <c:v>41.3</c:v>
                </c:pt>
                <c:pt idx="30">
                  <c:v>42.0</c:v>
                </c:pt>
                <c:pt idx="31">
                  <c:v>49.4</c:v>
                </c:pt>
              </c:numCache>
            </c:numRef>
          </c:val>
        </c:ser>
        <c:ser>
          <c:idx val="1"/>
          <c:order val="1"/>
          <c:tx>
            <c:strRef>
              <c:f>[1]Figure9!$C$13</c:f>
              <c:strCache>
                <c:ptCount val="1"/>
                <c:pt idx="0">
                  <c:v>#REF!</c:v>
                </c:pt>
              </c:strCache>
            </c:strRef>
          </c:tx>
          <c:invertIfNegative val="0"/>
          <c:cat>
            <c:strRef>
              <c:f>Figure11!$A$15:$A$46</c:f>
              <c:strCache>
                <c:ptCount val="32"/>
                <c:pt idx="0">
                  <c:v>Iceland</c:v>
                </c:pt>
                <c:pt idx="1">
                  <c:v>Norway</c:v>
                </c:pt>
                <c:pt idx="2">
                  <c:v>Czech Republic</c:v>
                </c:pt>
                <c:pt idx="3">
                  <c:v>Finland</c:v>
                </c:pt>
                <c:pt idx="4">
                  <c:v>Netherlands</c:v>
                </c:pt>
                <c:pt idx="5">
                  <c:v>Switzerland</c:v>
                </c:pt>
                <c:pt idx="6">
                  <c:v>Sweden</c:v>
                </c:pt>
                <c:pt idx="7">
                  <c:v>France</c:v>
                </c:pt>
                <c:pt idx="8">
                  <c:v>Denmark</c:v>
                </c:pt>
                <c:pt idx="9">
                  <c:v>Luxembourg</c:v>
                </c:pt>
                <c:pt idx="10">
                  <c:v>Austria</c:v>
                </c:pt>
                <c:pt idx="11">
                  <c:v>Slovakia</c:v>
                </c:pt>
                <c:pt idx="12">
                  <c:v>Belgium</c:v>
                </c:pt>
                <c:pt idx="13">
                  <c:v>Slovenia</c:v>
                </c:pt>
                <c:pt idx="14">
                  <c:v>Germany</c:v>
                </c:pt>
                <c:pt idx="15">
                  <c:v>Estonia</c:v>
                </c:pt>
                <c:pt idx="16">
                  <c:v>Malta</c:v>
                </c:pt>
                <c:pt idx="17">
                  <c:v>United Kingdom</c:v>
                </c:pt>
                <c:pt idx="18">
                  <c:v>Poland</c:v>
                </c:pt>
                <c:pt idx="19">
                  <c:v>Spain</c:v>
                </c:pt>
                <c:pt idx="20">
                  <c:v>Portugal</c:v>
                </c:pt>
                <c:pt idx="21">
                  <c:v>Cyprus</c:v>
                </c:pt>
                <c:pt idx="22">
                  <c:v>Italy</c:v>
                </c:pt>
                <c:pt idx="23">
                  <c:v>Ireland</c:v>
                </c:pt>
                <c:pt idx="24">
                  <c:v>Croatia</c:v>
                </c:pt>
                <c:pt idx="25">
                  <c:v>Lithuania</c:v>
                </c:pt>
                <c:pt idx="26">
                  <c:v>Hungary</c:v>
                </c:pt>
                <c:pt idx="27">
                  <c:v>Latvia</c:v>
                </c:pt>
                <c:pt idx="28">
                  <c:v>Greece</c:v>
                </c:pt>
                <c:pt idx="29">
                  <c:v>Romania</c:v>
                </c:pt>
                <c:pt idx="30">
                  <c:v>Serbia</c:v>
                </c:pt>
                <c:pt idx="31">
                  <c:v>Bulgaria</c:v>
                </c:pt>
              </c:strCache>
            </c:strRef>
          </c:cat>
          <c:val>
            <c:numRef>
              <c:f>Figure11!$C$15:$C$46</c:f>
              <c:numCache>
                <c:formatCode>General</c:formatCode>
                <c:ptCount val="32"/>
                <c:pt idx="0">
                  <c:v>12.8</c:v>
                </c:pt>
                <c:pt idx="1">
                  <c:v>13.4</c:v>
                </c:pt>
                <c:pt idx="2">
                  <c:v>13.1</c:v>
                </c:pt>
                <c:pt idx="3">
                  <c:v>15.7</c:v>
                </c:pt>
                <c:pt idx="4">
                  <c:v>14.9</c:v>
                </c:pt>
                <c:pt idx="5">
                  <c:v>15.1</c:v>
                </c:pt>
                <c:pt idx="6">
                  <c:v>14.9</c:v>
                </c:pt>
                <c:pt idx="7">
                  <c:v>17.2</c:v>
                </c:pt>
                <c:pt idx="8">
                  <c:v>18.7</c:v>
                </c:pt>
                <c:pt idx="9">
                  <c:v>18.6</c:v>
                </c:pt>
                <c:pt idx="10">
                  <c:v>17.4</c:v>
                </c:pt>
                <c:pt idx="11">
                  <c:v>19.3</c:v>
                </c:pt>
                <c:pt idx="12">
                  <c:v>20.4</c:v>
                </c:pt>
                <c:pt idx="13">
                  <c:v>19.4</c:v>
                </c:pt>
                <c:pt idx="14">
                  <c:v>18.8</c:v>
                </c:pt>
                <c:pt idx="15">
                  <c:v>22.5</c:v>
                </c:pt>
                <c:pt idx="16">
                  <c:v>23.1</c:v>
                </c:pt>
                <c:pt idx="17">
                  <c:v>23.6</c:v>
                </c:pt>
                <c:pt idx="18">
                  <c:v>25.5</c:v>
                </c:pt>
                <c:pt idx="19">
                  <c:v>27.9</c:v>
                </c:pt>
                <c:pt idx="20">
                  <c:v>27.5</c:v>
                </c:pt>
                <c:pt idx="21">
                  <c:v>26.8</c:v>
                </c:pt>
                <c:pt idx="22">
                  <c:v>27.2</c:v>
                </c:pt>
                <c:pt idx="23">
                  <c:v>28.8</c:v>
                </c:pt>
                <c:pt idx="24">
                  <c:v>29.6</c:v>
                </c:pt>
                <c:pt idx="25">
                  <c:v>28.3</c:v>
                </c:pt>
                <c:pt idx="26">
                  <c:v>33.1</c:v>
                </c:pt>
                <c:pt idx="27">
                  <c:v>34.2</c:v>
                </c:pt>
                <c:pt idx="28">
                  <c:v>34.6</c:v>
                </c:pt>
                <c:pt idx="29">
                  <c:v>39.4</c:v>
                </c:pt>
                <c:pt idx="30">
                  <c:v>42.0</c:v>
                </c:pt>
                <c:pt idx="31">
                  <c:v>46.5</c:v>
                </c:pt>
              </c:numCache>
            </c:numRef>
          </c:val>
        </c:ser>
        <c:dLbls>
          <c:showLegendKey val="0"/>
          <c:showVal val="0"/>
          <c:showCatName val="0"/>
          <c:showSerName val="0"/>
          <c:showPercent val="0"/>
          <c:showBubbleSize val="0"/>
        </c:dLbls>
        <c:gapWidth val="150"/>
        <c:axId val="2078367200"/>
        <c:axId val="2080131392"/>
      </c:barChart>
      <c:catAx>
        <c:axId val="2078367200"/>
        <c:scaling>
          <c:orientation val="minMax"/>
        </c:scaling>
        <c:delete val="0"/>
        <c:axPos val="l"/>
        <c:numFmt formatCode="General" sourceLinked="0"/>
        <c:majorTickMark val="out"/>
        <c:minorTickMark val="none"/>
        <c:tickLblPos val="nextTo"/>
        <c:txPr>
          <a:bodyPr/>
          <a:lstStyle/>
          <a:p>
            <a:pPr>
              <a:defRPr lang="da-DK"/>
            </a:pPr>
            <a:endParaRPr lang="en-US"/>
          </a:p>
        </c:txPr>
        <c:crossAx val="2080131392"/>
        <c:crosses val="autoZero"/>
        <c:auto val="1"/>
        <c:lblAlgn val="ctr"/>
        <c:lblOffset val="100"/>
        <c:noMultiLvlLbl val="0"/>
      </c:catAx>
      <c:valAx>
        <c:axId val="2080131392"/>
        <c:scaling>
          <c:orientation val="minMax"/>
          <c:max val="50.0"/>
        </c:scaling>
        <c:delete val="0"/>
        <c:axPos val="b"/>
        <c:majorGridlines/>
        <c:title>
          <c:tx>
            <c:rich>
              <a:bodyPr/>
              <a:lstStyle/>
              <a:p>
                <a:pPr>
                  <a:defRPr lang="da-DK"/>
                </a:pPr>
                <a:r>
                  <a:rPr lang="da-DK"/>
                  <a:t>Percentage</a:t>
                </a:r>
              </a:p>
            </c:rich>
          </c:tx>
          <c:overlay val="0"/>
        </c:title>
        <c:numFmt formatCode="General" sourceLinked="1"/>
        <c:majorTickMark val="out"/>
        <c:minorTickMark val="none"/>
        <c:tickLblPos val="nextTo"/>
        <c:txPr>
          <a:bodyPr/>
          <a:lstStyle/>
          <a:p>
            <a:pPr>
              <a:defRPr lang="da-DK"/>
            </a:pPr>
            <a:endParaRPr lang="en-US"/>
          </a:p>
        </c:txPr>
        <c:crossAx val="2078367200"/>
        <c:crosses val="autoZero"/>
        <c:crossBetween val="between"/>
      </c:valAx>
    </c:plotArea>
    <c:legend>
      <c:legendPos val="r"/>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Female</c:v>
          </c:tx>
          <c:invertIfNegative val="0"/>
          <c:cat>
            <c:strRef>
              <c:f>Figure12!$A$6:$A$42</c:f>
              <c:strCache>
                <c:ptCount val="37"/>
                <c:pt idx="0">
                  <c:v>Malta</c:v>
                </c:pt>
                <c:pt idx="1">
                  <c:v>Croatia</c:v>
                </c:pt>
                <c:pt idx="2">
                  <c:v>Serbia</c:v>
                </c:pt>
                <c:pt idx="3">
                  <c:v>Spain</c:v>
                </c:pt>
                <c:pt idx="4">
                  <c:v>Greece</c:v>
                </c:pt>
                <c:pt idx="5">
                  <c:v>Luxembourg</c:v>
                </c:pt>
                <c:pt idx="6">
                  <c:v>Cyprus</c:v>
                </c:pt>
                <c:pt idx="7">
                  <c:v>Albania</c:v>
                </c:pt>
                <c:pt idx="8">
                  <c:v>Ireland</c:v>
                </c:pt>
                <c:pt idx="9">
                  <c:v>Belgium</c:v>
                </c:pt>
                <c:pt idx="10">
                  <c:v>Italy</c:v>
                </c:pt>
                <c:pt idx="11">
                  <c:v>Tajikistan</c:v>
                </c:pt>
                <c:pt idx="12">
                  <c:v>Moldova (Republic of)</c:v>
                </c:pt>
                <c:pt idx="13">
                  <c:v>Azerbaijan</c:v>
                </c:pt>
                <c:pt idx="14">
                  <c:v>Slovenia</c:v>
                </c:pt>
                <c:pt idx="15">
                  <c:v>Hungary</c:v>
                </c:pt>
                <c:pt idx="16">
                  <c:v>Romania</c:v>
                </c:pt>
                <c:pt idx="17">
                  <c:v>Austria</c:v>
                </c:pt>
                <c:pt idx="18">
                  <c:v>Poland</c:v>
                </c:pt>
                <c:pt idx="19">
                  <c:v>Estonia</c:v>
                </c:pt>
                <c:pt idx="20">
                  <c:v>United Kingdom</c:v>
                </c:pt>
                <c:pt idx="21">
                  <c:v>Czech Republic</c:v>
                </c:pt>
                <c:pt idx="22">
                  <c:v>Denmark</c:v>
                </c:pt>
                <c:pt idx="23">
                  <c:v>Finland</c:v>
                </c:pt>
                <c:pt idx="24">
                  <c:v>France</c:v>
                </c:pt>
                <c:pt idx="25">
                  <c:v>Germany</c:v>
                </c:pt>
                <c:pt idx="26">
                  <c:v>Iceland</c:v>
                </c:pt>
                <c:pt idx="27">
                  <c:v>Kyrgyzstan</c:v>
                </c:pt>
                <c:pt idx="28">
                  <c:v>Latvia</c:v>
                </c:pt>
                <c:pt idx="29">
                  <c:v>Lithuania</c:v>
                </c:pt>
                <c:pt idx="30">
                  <c:v>Netherlands</c:v>
                </c:pt>
                <c:pt idx="31">
                  <c:v>Norway</c:v>
                </c:pt>
                <c:pt idx="32">
                  <c:v>Portugal</c:v>
                </c:pt>
                <c:pt idx="33">
                  <c:v>Russian Federation</c:v>
                </c:pt>
                <c:pt idx="34">
                  <c:v>Slovakia</c:v>
                </c:pt>
                <c:pt idx="35">
                  <c:v>Sweden</c:v>
                </c:pt>
                <c:pt idx="36">
                  <c:v>Switzerland</c:v>
                </c:pt>
              </c:strCache>
            </c:strRef>
          </c:cat>
          <c:val>
            <c:numRef>
              <c:f>Figure12!$B$6:$B$42</c:f>
              <c:numCache>
                <c:formatCode>#,###,##0.0</c:formatCode>
                <c:ptCount val="37"/>
                <c:pt idx="0">
                  <c:v>32.0</c:v>
                </c:pt>
                <c:pt idx="1">
                  <c:v>44.2</c:v>
                </c:pt>
                <c:pt idx="2">
                  <c:v>44.78004754</c:v>
                </c:pt>
                <c:pt idx="3">
                  <c:v>46.6</c:v>
                </c:pt>
                <c:pt idx="4">
                  <c:v>54.6</c:v>
                </c:pt>
                <c:pt idx="5">
                  <c:v>56.4</c:v>
                </c:pt>
                <c:pt idx="6">
                  <c:v>57.2</c:v>
                </c:pt>
                <c:pt idx="7">
                  <c:v>60.8</c:v>
                </c:pt>
                <c:pt idx="8">
                  <c:v>66.3</c:v>
                </c:pt>
                <c:pt idx="9">
                  <c:v>67.8</c:v>
                </c:pt>
                <c:pt idx="10">
                  <c:v>69.2</c:v>
                </c:pt>
                <c:pt idx="11">
                  <c:v>72.06434505999999</c:v>
                </c:pt>
                <c:pt idx="12">
                  <c:v>77.0</c:v>
                </c:pt>
                <c:pt idx="13">
                  <c:v>78.96058725</c:v>
                </c:pt>
                <c:pt idx="14">
                  <c:v>85.9</c:v>
                </c:pt>
                <c:pt idx="15">
                  <c:v>87.6</c:v>
                </c:pt>
                <c:pt idx="16">
                  <c:v>88.0</c:v>
                </c:pt>
                <c:pt idx="17">
                  <c:v>93.7</c:v>
                </c:pt>
                <c:pt idx="18">
                  <c:v>94.9</c:v>
                </c:pt>
                <c:pt idx="19">
                  <c:v>97.5</c:v>
                </c:pt>
                <c:pt idx="20">
                  <c:v>99.2</c:v>
                </c:pt>
                <c:pt idx="21">
                  <c:v>100.0</c:v>
                </c:pt>
                <c:pt idx="22">
                  <c:v>100.0</c:v>
                </c:pt>
                <c:pt idx="23">
                  <c:v>100.0</c:v>
                </c:pt>
                <c:pt idx="24">
                  <c:v>100.0</c:v>
                </c:pt>
                <c:pt idx="25">
                  <c:v>100.0</c:v>
                </c:pt>
                <c:pt idx="26">
                  <c:v>100.0</c:v>
                </c:pt>
                <c:pt idx="27">
                  <c:v>100.0</c:v>
                </c:pt>
                <c:pt idx="28">
                  <c:v>100.0</c:v>
                </c:pt>
                <c:pt idx="29">
                  <c:v>100.0</c:v>
                </c:pt>
                <c:pt idx="30">
                  <c:v>100.0</c:v>
                </c:pt>
                <c:pt idx="31">
                  <c:v>100.0</c:v>
                </c:pt>
                <c:pt idx="32">
                  <c:v>100.0</c:v>
                </c:pt>
                <c:pt idx="33">
                  <c:v>100.0</c:v>
                </c:pt>
                <c:pt idx="34">
                  <c:v>100.0</c:v>
                </c:pt>
                <c:pt idx="35">
                  <c:v>100.0</c:v>
                </c:pt>
                <c:pt idx="36">
                  <c:v>100.0</c:v>
                </c:pt>
              </c:numCache>
            </c:numRef>
          </c:val>
        </c:ser>
        <c:dLbls>
          <c:showLegendKey val="0"/>
          <c:showVal val="0"/>
          <c:showCatName val="0"/>
          <c:showSerName val="0"/>
          <c:showPercent val="0"/>
          <c:showBubbleSize val="0"/>
        </c:dLbls>
        <c:gapWidth val="150"/>
        <c:axId val="2080160000"/>
        <c:axId val="2080162272"/>
      </c:barChart>
      <c:catAx>
        <c:axId val="2080160000"/>
        <c:scaling>
          <c:orientation val="minMax"/>
        </c:scaling>
        <c:delete val="0"/>
        <c:axPos val="l"/>
        <c:numFmt formatCode="General" sourceLinked="0"/>
        <c:majorTickMark val="out"/>
        <c:minorTickMark val="none"/>
        <c:tickLblPos val="nextTo"/>
        <c:txPr>
          <a:bodyPr/>
          <a:lstStyle/>
          <a:p>
            <a:pPr>
              <a:defRPr lang="da-DK"/>
            </a:pPr>
            <a:endParaRPr lang="en-US"/>
          </a:p>
        </c:txPr>
        <c:crossAx val="2080162272"/>
        <c:crosses val="autoZero"/>
        <c:auto val="1"/>
        <c:lblAlgn val="ctr"/>
        <c:lblOffset val="100"/>
        <c:noMultiLvlLbl val="0"/>
      </c:catAx>
      <c:valAx>
        <c:axId val="2080162272"/>
        <c:scaling>
          <c:orientation val="minMax"/>
          <c:max val="100.0"/>
        </c:scaling>
        <c:delete val="0"/>
        <c:axPos val="b"/>
        <c:majorGridlines/>
        <c:title>
          <c:tx>
            <c:rich>
              <a:bodyPr/>
              <a:lstStyle/>
              <a:p>
                <a:pPr>
                  <a:defRPr lang="da-DK"/>
                </a:pPr>
                <a:r>
                  <a:rPr lang="en-US"/>
                  <a:t>Old age pension recipient (%)</a:t>
                </a:r>
              </a:p>
            </c:rich>
          </c:tx>
          <c:overlay val="0"/>
        </c:title>
        <c:numFmt formatCode="#,###,##0.0" sourceLinked="1"/>
        <c:majorTickMark val="out"/>
        <c:minorTickMark val="none"/>
        <c:tickLblPos val="nextTo"/>
        <c:txPr>
          <a:bodyPr/>
          <a:lstStyle/>
          <a:p>
            <a:pPr>
              <a:defRPr lang="da-DK"/>
            </a:pPr>
            <a:endParaRPr lang="en-US"/>
          </a:p>
        </c:txPr>
        <c:crossAx val="2080160000"/>
        <c:crosses val="autoZero"/>
        <c:crossBetween val="between"/>
      </c:valAx>
    </c:plotArea>
    <c:legend>
      <c:legendPos val="r"/>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'[4]Probability of dying befor age '!$A$4</c:f>
              <c:strCache>
                <c:ptCount val="1"/>
                <c:pt idx="0">
                  <c:v>#REF!</c:v>
                </c:pt>
              </c:strCache>
            </c:strRef>
          </c:tx>
          <c:cat>
            <c:numRef>
              <c:f>'[4]Probability of dying befor age '!$B$3:$D$3</c:f>
              <c:numCache>
                <c:formatCode>General</c:formatCode>
                <c:ptCount val="3"/>
                <c:pt idx="0">
                  <c:v>0.0</c:v>
                </c:pt>
                <c:pt idx="1">
                  <c:v>0.0</c:v>
                </c:pt>
                <c:pt idx="2">
                  <c:v>0.0</c:v>
                </c:pt>
              </c:numCache>
            </c:numRef>
          </c:cat>
          <c:val>
            <c:numRef>
              <c:f>'[4]Probability of dying befor age '!$B$4:$D$4</c:f>
              <c:numCache>
                <c:formatCode>General</c:formatCode>
                <c:ptCount val="3"/>
                <c:pt idx="0">
                  <c:v>0.0</c:v>
                </c:pt>
                <c:pt idx="1">
                  <c:v>0.0</c:v>
                </c:pt>
                <c:pt idx="2">
                  <c:v>0.0</c:v>
                </c:pt>
              </c:numCache>
            </c:numRef>
          </c:val>
          <c:smooth val="0"/>
        </c:ser>
        <c:ser>
          <c:idx val="1"/>
          <c:order val="1"/>
          <c:tx>
            <c:strRef>
              <c:f>'[4]Probability of dying befor age '!$A$5</c:f>
              <c:strCache>
                <c:ptCount val="1"/>
                <c:pt idx="0">
                  <c:v>#REF!</c:v>
                </c:pt>
              </c:strCache>
            </c:strRef>
          </c:tx>
          <c:cat>
            <c:numRef>
              <c:f>'[4]Probability of dying befor age '!$B$3:$D$3</c:f>
              <c:numCache>
                <c:formatCode>General</c:formatCode>
                <c:ptCount val="3"/>
                <c:pt idx="0">
                  <c:v>0.0</c:v>
                </c:pt>
                <c:pt idx="1">
                  <c:v>0.0</c:v>
                </c:pt>
                <c:pt idx="2">
                  <c:v>0.0</c:v>
                </c:pt>
              </c:numCache>
            </c:numRef>
          </c:cat>
          <c:val>
            <c:numRef>
              <c:f>'[4]Probability of dying befor age '!$B$5:$D$5</c:f>
              <c:numCache>
                <c:formatCode>General</c:formatCode>
                <c:ptCount val="3"/>
                <c:pt idx="0">
                  <c:v>0.0</c:v>
                </c:pt>
                <c:pt idx="1">
                  <c:v>0.0</c:v>
                </c:pt>
                <c:pt idx="2">
                  <c:v>0.0</c:v>
                </c:pt>
              </c:numCache>
            </c:numRef>
          </c:val>
          <c:smooth val="0"/>
        </c:ser>
        <c:ser>
          <c:idx val="2"/>
          <c:order val="2"/>
          <c:tx>
            <c:strRef>
              <c:f>'[4]Probability of dying befor age '!$A$6</c:f>
              <c:strCache>
                <c:ptCount val="1"/>
                <c:pt idx="0">
                  <c:v>#REF!</c:v>
                </c:pt>
              </c:strCache>
            </c:strRef>
          </c:tx>
          <c:cat>
            <c:numRef>
              <c:f>'[4]Probability of dying befor age '!$B$3:$D$3</c:f>
              <c:numCache>
                <c:formatCode>General</c:formatCode>
                <c:ptCount val="3"/>
                <c:pt idx="0">
                  <c:v>0.0</c:v>
                </c:pt>
                <c:pt idx="1">
                  <c:v>0.0</c:v>
                </c:pt>
                <c:pt idx="2">
                  <c:v>0.0</c:v>
                </c:pt>
              </c:numCache>
            </c:numRef>
          </c:cat>
          <c:val>
            <c:numRef>
              <c:f>'[4]Probability of dying befor age '!$B$6:$D$6</c:f>
              <c:numCache>
                <c:formatCode>General</c:formatCode>
                <c:ptCount val="3"/>
                <c:pt idx="0">
                  <c:v>0.0</c:v>
                </c:pt>
                <c:pt idx="1">
                  <c:v>0.0</c:v>
                </c:pt>
                <c:pt idx="2">
                  <c:v>0.0</c:v>
                </c:pt>
              </c:numCache>
            </c:numRef>
          </c:val>
          <c:smooth val="0"/>
        </c:ser>
        <c:dLbls>
          <c:showLegendKey val="0"/>
          <c:showVal val="0"/>
          <c:showCatName val="0"/>
          <c:showSerName val="0"/>
          <c:showPercent val="0"/>
          <c:showBubbleSize val="0"/>
        </c:dLbls>
        <c:marker val="1"/>
        <c:smooth val="0"/>
        <c:axId val="2078310832"/>
        <c:axId val="2080178048"/>
      </c:lineChart>
      <c:catAx>
        <c:axId val="2078310832"/>
        <c:scaling>
          <c:orientation val="minMax"/>
        </c:scaling>
        <c:delete val="0"/>
        <c:axPos val="b"/>
        <c:numFmt formatCode="General" sourceLinked="1"/>
        <c:majorTickMark val="out"/>
        <c:minorTickMark val="none"/>
        <c:tickLblPos val="nextTo"/>
        <c:txPr>
          <a:bodyPr/>
          <a:lstStyle/>
          <a:p>
            <a:pPr>
              <a:defRPr lang="da-DK"/>
            </a:pPr>
            <a:endParaRPr lang="en-US"/>
          </a:p>
        </c:txPr>
        <c:crossAx val="2080178048"/>
        <c:crosses val="autoZero"/>
        <c:auto val="1"/>
        <c:lblAlgn val="ctr"/>
        <c:lblOffset val="100"/>
        <c:noMultiLvlLbl val="0"/>
      </c:catAx>
      <c:valAx>
        <c:axId val="2080178048"/>
        <c:scaling>
          <c:orientation val="minMax"/>
        </c:scaling>
        <c:delete val="0"/>
        <c:axPos val="l"/>
        <c:majorGridlines/>
        <c:title>
          <c:tx>
            <c:rich>
              <a:bodyPr rot="-5400000" vert="horz"/>
              <a:lstStyle/>
              <a:p>
                <a:pPr>
                  <a:defRPr lang="da-DK"/>
                </a:pPr>
                <a:r>
                  <a:rPr lang="da-DK"/>
                  <a:t>Probability</a:t>
                </a:r>
                <a:r>
                  <a:rPr lang="da-DK" baseline="0"/>
                  <a:t> of dying before age 5 (per live births)</a:t>
                </a:r>
                <a:endParaRPr lang="da-DK"/>
              </a:p>
            </c:rich>
          </c:tx>
          <c:layout>
            <c:manualLayout>
              <c:xMode val="edge"/>
              <c:yMode val="edge"/>
              <c:x val="0.0305555555555556"/>
              <c:y val="0.0813888888888889"/>
            </c:manualLayout>
          </c:layout>
          <c:overlay val="0"/>
        </c:title>
        <c:numFmt formatCode="General" sourceLinked="1"/>
        <c:majorTickMark val="out"/>
        <c:minorTickMark val="none"/>
        <c:tickLblPos val="nextTo"/>
        <c:txPr>
          <a:bodyPr/>
          <a:lstStyle/>
          <a:p>
            <a:pPr>
              <a:defRPr lang="da-DK"/>
            </a:pPr>
            <a:endParaRPr lang="en-US"/>
          </a:p>
        </c:txPr>
        <c:crossAx val="2078310832"/>
        <c:crosses val="autoZero"/>
        <c:crossBetween val="between"/>
      </c:valAx>
    </c:plotArea>
    <c:legend>
      <c:legendPos val="r"/>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'[4]Infant death by sex'!$A$4</c:f>
              <c:strCache>
                <c:ptCount val="1"/>
                <c:pt idx="0">
                  <c:v>#REF!</c:v>
                </c:pt>
              </c:strCache>
            </c:strRef>
          </c:tx>
          <c:cat>
            <c:numRef>
              <c:f>'[4]Infant death by sex'!$B$3:$D$3</c:f>
              <c:numCache>
                <c:formatCode>General</c:formatCode>
                <c:ptCount val="3"/>
                <c:pt idx="0">
                  <c:v>0.0</c:v>
                </c:pt>
                <c:pt idx="1">
                  <c:v>0.0</c:v>
                </c:pt>
                <c:pt idx="2">
                  <c:v>0.0</c:v>
                </c:pt>
              </c:numCache>
            </c:numRef>
          </c:cat>
          <c:val>
            <c:numRef>
              <c:f>'[4]Infant death by sex'!$B$4:$D$4</c:f>
              <c:numCache>
                <c:formatCode>General</c:formatCode>
                <c:ptCount val="3"/>
                <c:pt idx="0">
                  <c:v>0.0</c:v>
                </c:pt>
                <c:pt idx="1">
                  <c:v>0.0</c:v>
                </c:pt>
                <c:pt idx="2">
                  <c:v>0.0</c:v>
                </c:pt>
              </c:numCache>
            </c:numRef>
          </c:val>
          <c:smooth val="0"/>
        </c:ser>
        <c:ser>
          <c:idx val="1"/>
          <c:order val="1"/>
          <c:tx>
            <c:strRef>
              <c:f>'[4]Infant death by sex'!$A$5</c:f>
              <c:strCache>
                <c:ptCount val="1"/>
                <c:pt idx="0">
                  <c:v>#REF!</c:v>
                </c:pt>
              </c:strCache>
            </c:strRef>
          </c:tx>
          <c:cat>
            <c:numRef>
              <c:f>'[4]Infant death by sex'!$B$3:$D$3</c:f>
              <c:numCache>
                <c:formatCode>General</c:formatCode>
                <c:ptCount val="3"/>
                <c:pt idx="0">
                  <c:v>0.0</c:v>
                </c:pt>
                <c:pt idx="1">
                  <c:v>0.0</c:v>
                </c:pt>
                <c:pt idx="2">
                  <c:v>0.0</c:v>
                </c:pt>
              </c:numCache>
            </c:numRef>
          </c:cat>
          <c:val>
            <c:numRef>
              <c:f>'[4]Infant death by sex'!$B$5:$D$5</c:f>
              <c:numCache>
                <c:formatCode>General</c:formatCode>
                <c:ptCount val="3"/>
                <c:pt idx="0">
                  <c:v>0.0</c:v>
                </c:pt>
                <c:pt idx="1">
                  <c:v>0.0</c:v>
                </c:pt>
                <c:pt idx="2">
                  <c:v>0.0</c:v>
                </c:pt>
              </c:numCache>
            </c:numRef>
          </c:val>
          <c:smooth val="0"/>
        </c:ser>
        <c:ser>
          <c:idx val="2"/>
          <c:order val="2"/>
          <c:tx>
            <c:strRef>
              <c:f>'[4]Infant death by sex'!$A$6</c:f>
              <c:strCache>
                <c:ptCount val="1"/>
                <c:pt idx="0">
                  <c:v>#REF!</c:v>
                </c:pt>
              </c:strCache>
            </c:strRef>
          </c:tx>
          <c:cat>
            <c:numRef>
              <c:f>'[4]Infant death by sex'!$B$3:$D$3</c:f>
              <c:numCache>
                <c:formatCode>General</c:formatCode>
                <c:ptCount val="3"/>
                <c:pt idx="0">
                  <c:v>0.0</c:v>
                </c:pt>
                <c:pt idx="1">
                  <c:v>0.0</c:v>
                </c:pt>
                <c:pt idx="2">
                  <c:v>0.0</c:v>
                </c:pt>
              </c:numCache>
            </c:numRef>
          </c:cat>
          <c:val>
            <c:numRef>
              <c:f>'[4]Infant death by sex'!$B$6:$D$6</c:f>
              <c:numCache>
                <c:formatCode>General</c:formatCode>
                <c:ptCount val="3"/>
                <c:pt idx="0">
                  <c:v>0.0</c:v>
                </c:pt>
                <c:pt idx="1">
                  <c:v>0.0</c:v>
                </c:pt>
                <c:pt idx="2">
                  <c:v>0.0</c:v>
                </c:pt>
              </c:numCache>
            </c:numRef>
          </c:val>
          <c:smooth val="0"/>
        </c:ser>
        <c:dLbls>
          <c:showLegendKey val="0"/>
          <c:showVal val="0"/>
          <c:showCatName val="0"/>
          <c:showSerName val="0"/>
          <c:showPercent val="0"/>
          <c:showBubbleSize val="0"/>
        </c:dLbls>
        <c:marker val="1"/>
        <c:smooth val="0"/>
        <c:axId val="2080233424"/>
        <c:axId val="2080236480"/>
      </c:lineChart>
      <c:catAx>
        <c:axId val="2080233424"/>
        <c:scaling>
          <c:orientation val="minMax"/>
        </c:scaling>
        <c:delete val="0"/>
        <c:axPos val="b"/>
        <c:numFmt formatCode="General" sourceLinked="1"/>
        <c:majorTickMark val="out"/>
        <c:minorTickMark val="none"/>
        <c:tickLblPos val="nextTo"/>
        <c:txPr>
          <a:bodyPr/>
          <a:lstStyle/>
          <a:p>
            <a:pPr>
              <a:defRPr lang="da-DK"/>
            </a:pPr>
            <a:endParaRPr lang="en-US"/>
          </a:p>
        </c:txPr>
        <c:crossAx val="2080236480"/>
        <c:crosses val="autoZero"/>
        <c:auto val="1"/>
        <c:lblAlgn val="ctr"/>
        <c:lblOffset val="100"/>
        <c:noMultiLvlLbl val="0"/>
      </c:catAx>
      <c:valAx>
        <c:axId val="2080236480"/>
        <c:scaling>
          <c:orientation val="minMax"/>
        </c:scaling>
        <c:delete val="0"/>
        <c:axPos val="l"/>
        <c:majorGridlines/>
        <c:title>
          <c:tx>
            <c:rich>
              <a:bodyPr rot="-5400000" vert="horz"/>
              <a:lstStyle/>
              <a:p>
                <a:pPr>
                  <a:defRPr lang="da-DK"/>
                </a:pPr>
                <a:r>
                  <a:rPr lang="da-DK"/>
                  <a:t>Infant</a:t>
                </a:r>
                <a:r>
                  <a:rPr lang="da-DK" baseline="0"/>
                  <a:t> death (per 1000 live births</a:t>
                </a:r>
                <a:endParaRPr lang="da-DK"/>
              </a:p>
            </c:rich>
          </c:tx>
          <c:overlay val="0"/>
        </c:title>
        <c:numFmt formatCode="General" sourceLinked="1"/>
        <c:majorTickMark val="out"/>
        <c:minorTickMark val="none"/>
        <c:tickLblPos val="nextTo"/>
        <c:txPr>
          <a:bodyPr/>
          <a:lstStyle/>
          <a:p>
            <a:pPr>
              <a:defRPr lang="da-DK"/>
            </a:pPr>
            <a:endParaRPr lang="en-US"/>
          </a:p>
        </c:txPr>
        <c:crossAx val="2080233424"/>
        <c:crosses val="autoZero"/>
        <c:crossBetween val="between"/>
      </c:valAx>
    </c:plotArea>
    <c:legend>
      <c:legendPos val="r"/>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barChart>
        <c:barDir val="bar"/>
        <c:grouping val="clustered"/>
        <c:varyColors val="0"/>
        <c:ser>
          <c:idx val="0"/>
          <c:order val="0"/>
          <c:invertIfNegative val="0"/>
          <c:cat>
            <c:strRef>
              <c:f>Figure15!$A$5:$A$52</c:f>
              <c:strCache>
                <c:ptCount val="48"/>
                <c:pt idx="0">
                  <c:v>Tajikistan</c:v>
                </c:pt>
                <c:pt idx="1">
                  <c:v>Bosnia &amp; Herzegovina</c:v>
                </c:pt>
                <c:pt idx="2">
                  <c:v>Azerbaijan</c:v>
                </c:pt>
                <c:pt idx="3">
                  <c:v>Uzbekistan</c:v>
                </c:pt>
                <c:pt idx="4">
                  <c:v>TFYR Macedonia </c:v>
                </c:pt>
                <c:pt idx="5">
                  <c:v>Turkey</c:v>
                </c:pt>
                <c:pt idx="6">
                  <c:v>Ireland</c:v>
                </c:pt>
                <c:pt idx="7">
                  <c:v>Kazakhstan</c:v>
                </c:pt>
                <c:pt idx="8">
                  <c:v>Serbia</c:v>
                </c:pt>
                <c:pt idx="9">
                  <c:v>Armenia</c:v>
                </c:pt>
                <c:pt idx="10">
                  <c:v>Montenegro</c:v>
                </c:pt>
                <c:pt idx="11">
                  <c:v>Croatia </c:v>
                </c:pt>
                <c:pt idx="12">
                  <c:v>Albania</c:v>
                </c:pt>
                <c:pt idx="13">
                  <c:v>Finland</c:v>
                </c:pt>
                <c:pt idx="14">
                  <c:v>Lithuania</c:v>
                </c:pt>
                <c:pt idx="15">
                  <c:v>Cyprus</c:v>
                </c:pt>
                <c:pt idx="16">
                  <c:v>Poland</c:v>
                </c:pt>
                <c:pt idx="17">
                  <c:v>Romania</c:v>
                </c:pt>
                <c:pt idx="18">
                  <c:v>Greece</c:v>
                </c:pt>
                <c:pt idx="19">
                  <c:v>Republic of Moldova</c:v>
                </c:pt>
                <c:pt idx="20">
                  <c:v>Bulgaria</c:v>
                </c:pt>
                <c:pt idx="21">
                  <c:v>Portugal</c:v>
                </c:pt>
                <c:pt idx="22">
                  <c:v>United Kingdom </c:v>
                </c:pt>
                <c:pt idx="23">
                  <c:v>Hungary</c:v>
                </c:pt>
                <c:pt idx="24">
                  <c:v>Luxembourg</c:v>
                </c:pt>
                <c:pt idx="25">
                  <c:v>Russian Federation</c:v>
                </c:pt>
                <c:pt idx="26">
                  <c:v>Slovakia</c:v>
                </c:pt>
                <c:pt idx="27">
                  <c:v>Estonia</c:v>
                </c:pt>
                <c:pt idx="28">
                  <c:v>Netherlands</c:v>
                </c:pt>
                <c:pt idx="29">
                  <c:v>Latvia</c:v>
                </c:pt>
                <c:pt idx="30">
                  <c:v>Slovenia</c:v>
                </c:pt>
                <c:pt idx="31">
                  <c:v>Sweden</c:v>
                </c:pt>
                <c:pt idx="32">
                  <c:v>Iceland</c:v>
                </c:pt>
                <c:pt idx="33">
                  <c:v>Italy</c:v>
                </c:pt>
                <c:pt idx="34">
                  <c:v>Norway</c:v>
                </c:pt>
                <c:pt idx="35">
                  <c:v>Denmark</c:v>
                </c:pt>
                <c:pt idx="36">
                  <c:v>Switzerland</c:v>
                </c:pt>
                <c:pt idx="37">
                  <c:v>Ukraine</c:v>
                </c:pt>
                <c:pt idx="38">
                  <c:v>Belarus </c:v>
                </c:pt>
                <c:pt idx="39">
                  <c:v>Czech Republic</c:v>
                </c:pt>
                <c:pt idx="40">
                  <c:v>Austria</c:v>
                </c:pt>
                <c:pt idx="41">
                  <c:v>Israel</c:v>
                </c:pt>
                <c:pt idx="42">
                  <c:v>San Marino</c:v>
                </c:pt>
                <c:pt idx="43">
                  <c:v>France</c:v>
                </c:pt>
                <c:pt idx="44">
                  <c:v>Germany </c:v>
                </c:pt>
                <c:pt idx="45">
                  <c:v>Malta</c:v>
                </c:pt>
                <c:pt idx="46">
                  <c:v>Belgium</c:v>
                </c:pt>
                <c:pt idx="47">
                  <c:v>Spain</c:v>
                </c:pt>
              </c:strCache>
            </c:strRef>
          </c:cat>
          <c:val>
            <c:numRef>
              <c:f>Figure15!$B$5:$B$52</c:f>
              <c:numCache>
                <c:formatCode>General</c:formatCode>
                <c:ptCount val="48"/>
                <c:pt idx="0">
                  <c:v>8.0</c:v>
                </c:pt>
                <c:pt idx="1">
                  <c:v>16.0</c:v>
                </c:pt>
                <c:pt idx="2">
                  <c:v>25.0</c:v>
                </c:pt>
                <c:pt idx="3">
                  <c:v>25.0</c:v>
                </c:pt>
                <c:pt idx="4">
                  <c:v>29.0</c:v>
                </c:pt>
                <c:pt idx="5">
                  <c:v>30.0</c:v>
                </c:pt>
                <c:pt idx="6">
                  <c:v>53.0</c:v>
                </c:pt>
                <c:pt idx="7">
                  <c:v>54.0</c:v>
                </c:pt>
                <c:pt idx="8">
                  <c:v>56.0</c:v>
                </c:pt>
                <c:pt idx="9">
                  <c:v>60.0</c:v>
                </c:pt>
                <c:pt idx="10">
                  <c:v>60.0</c:v>
                </c:pt>
                <c:pt idx="11">
                  <c:v>62.0</c:v>
                </c:pt>
                <c:pt idx="12">
                  <c:v>69.0</c:v>
                </c:pt>
                <c:pt idx="13">
                  <c:v>70.0</c:v>
                </c:pt>
                <c:pt idx="14">
                  <c:v>75.0</c:v>
                </c:pt>
                <c:pt idx="15">
                  <c:v>77.0</c:v>
                </c:pt>
                <c:pt idx="16">
                  <c:v>78.0</c:v>
                </c:pt>
                <c:pt idx="17">
                  <c:v>78.0</c:v>
                </c:pt>
                <c:pt idx="18">
                  <c:v>79.0</c:v>
                </c:pt>
                <c:pt idx="19">
                  <c:v>79.0</c:v>
                </c:pt>
                <c:pt idx="20">
                  <c:v>85.0</c:v>
                </c:pt>
                <c:pt idx="21">
                  <c:v>85.0</c:v>
                </c:pt>
                <c:pt idx="22">
                  <c:v>85.0</c:v>
                </c:pt>
                <c:pt idx="23">
                  <c:v>87.0</c:v>
                </c:pt>
                <c:pt idx="24">
                  <c:v>89.0</c:v>
                </c:pt>
                <c:pt idx="25">
                  <c:v>90.0</c:v>
                </c:pt>
                <c:pt idx="26">
                  <c:v>90.0</c:v>
                </c:pt>
                <c:pt idx="27">
                  <c:v>91.0</c:v>
                </c:pt>
                <c:pt idx="28">
                  <c:v>91.0</c:v>
                </c:pt>
                <c:pt idx="29">
                  <c:v>92.0</c:v>
                </c:pt>
                <c:pt idx="30">
                  <c:v>93.0</c:v>
                </c:pt>
                <c:pt idx="31">
                  <c:v>95.0</c:v>
                </c:pt>
                <c:pt idx="32">
                  <c:v>96.0</c:v>
                </c:pt>
                <c:pt idx="33">
                  <c:v>97.0</c:v>
                </c:pt>
                <c:pt idx="34">
                  <c:v>99.0</c:v>
                </c:pt>
                <c:pt idx="35">
                  <c:v>100.0</c:v>
                </c:pt>
                <c:pt idx="36">
                  <c:v>100.0</c:v>
                </c:pt>
                <c:pt idx="37">
                  <c:v>100.0</c:v>
                </c:pt>
                <c:pt idx="38">
                  <c:v>101.0</c:v>
                </c:pt>
                <c:pt idx="39">
                  <c:v>101.0</c:v>
                </c:pt>
                <c:pt idx="40">
                  <c:v>103.0</c:v>
                </c:pt>
                <c:pt idx="41">
                  <c:v>103.0</c:v>
                </c:pt>
                <c:pt idx="42">
                  <c:v>108.0</c:v>
                </c:pt>
                <c:pt idx="43">
                  <c:v>109.0</c:v>
                </c:pt>
                <c:pt idx="44">
                  <c:v>112.0</c:v>
                </c:pt>
                <c:pt idx="45">
                  <c:v>113.0</c:v>
                </c:pt>
                <c:pt idx="46">
                  <c:v>118.0</c:v>
                </c:pt>
                <c:pt idx="47">
                  <c:v>127.0</c:v>
                </c:pt>
              </c:numCache>
            </c:numRef>
          </c:val>
        </c:ser>
        <c:dLbls>
          <c:showLegendKey val="0"/>
          <c:showVal val="0"/>
          <c:showCatName val="0"/>
          <c:showSerName val="0"/>
          <c:showPercent val="0"/>
          <c:showBubbleSize val="0"/>
        </c:dLbls>
        <c:gapWidth val="150"/>
        <c:axId val="2080263408"/>
        <c:axId val="2080266528"/>
      </c:barChart>
      <c:catAx>
        <c:axId val="2080263408"/>
        <c:scaling>
          <c:orientation val="minMax"/>
        </c:scaling>
        <c:delete val="0"/>
        <c:axPos val="l"/>
        <c:numFmt formatCode="General" sourceLinked="0"/>
        <c:majorTickMark val="out"/>
        <c:minorTickMark val="none"/>
        <c:tickLblPos val="nextTo"/>
        <c:txPr>
          <a:bodyPr/>
          <a:lstStyle/>
          <a:p>
            <a:pPr>
              <a:defRPr lang="da-DK"/>
            </a:pPr>
            <a:endParaRPr lang="en-US"/>
          </a:p>
        </c:txPr>
        <c:crossAx val="2080266528"/>
        <c:crosses val="autoZero"/>
        <c:auto val="1"/>
        <c:lblAlgn val="ctr"/>
        <c:lblOffset val="100"/>
        <c:noMultiLvlLbl val="0"/>
      </c:catAx>
      <c:valAx>
        <c:axId val="2080266528"/>
        <c:scaling>
          <c:orientation val="minMax"/>
        </c:scaling>
        <c:delete val="0"/>
        <c:axPos val="b"/>
        <c:majorGridlines/>
        <c:numFmt formatCode="General" sourceLinked="1"/>
        <c:majorTickMark val="out"/>
        <c:minorTickMark val="none"/>
        <c:tickLblPos val="nextTo"/>
        <c:txPr>
          <a:bodyPr/>
          <a:lstStyle/>
          <a:p>
            <a:pPr>
              <a:defRPr lang="da-DK"/>
            </a:pPr>
            <a:endParaRPr lang="en-US"/>
          </a:p>
        </c:txPr>
        <c:crossAx val="2080263408"/>
        <c:crosses val="autoZero"/>
        <c:crossBetween val="between"/>
      </c:valAx>
    </c:plotArea>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col"/>
        <c:grouping val="clustered"/>
        <c:varyColors val="0"/>
        <c:ser>
          <c:idx val="0"/>
          <c:order val="0"/>
          <c:tx>
            <c:v>Girls less than 6 years</c:v>
          </c:tx>
          <c:invertIfNegative val="0"/>
          <c:cat>
            <c:strRef>
              <c:f>Figure16a16b!$A$12:$A$47</c:f>
              <c:strCache>
                <c:ptCount val="36"/>
                <c:pt idx="0">
                  <c:v>Netherlands</c:v>
                </c:pt>
                <c:pt idx="1">
                  <c:v>Finland</c:v>
                </c:pt>
                <c:pt idx="2">
                  <c:v>Czech Republic</c:v>
                </c:pt>
                <c:pt idx="3">
                  <c:v>Slovenia</c:v>
                </c:pt>
                <c:pt idx="4">
                  <c:v>Norway</c:v>
                </c:pt>
                <c:pt idx="5">
                  <c:v>Switzerland</c:v>
                </c:pt>
                <c:pt idx="6">
                  <c:v>Germany </c:v>
                </c:pt>
                <c:pt idx="7">
                  <c:v>Iceland</c:v>
                </c:pt>
                <c:pt idx="8">
                  <c:v>Estonia</c:v>
                </c:pt>
                <c:pt idx="9">
                  <c:v>Sweden</c:v>
                </c:pt>
                <c:pt idx="10">
                  <c:v>Denmark</c:v>
                </c:pt>
                <c:pt idx="11">
                  <c:v>Slovakia</c:v>
                </c:pt>
                <c:pt idx="12">
                  <c:v>Belgium</c:v>
                </c:pt>
                <c:pt idx="13">
                  <c:v>France</c:v>
                </c:pt>
                <c:pt idx="14">
                  <c:v>Luxembourg</c:v>
                </c:pt>
                <c:pt idx="15">
                  <c:v>EU15a</c:v>
                </c:pt>
                <c:pt idx="16">
                  <c:v>Spain</c:v>
                </c:pt>
                <c:pt idx="17">
                  <c:v>EU-27b</c:v>
                </c:pt>
                <c:pt idx="18">
                  <c:v>Cyprus</c:v>
                </c:pt>
                <c:pt idx="19">
                  <c:v>Lithuania</c:v>
                </c:pt>
                <c:pt idx="20">
                  <c:v>Malta</c:v>
                </c:pt>
                <c:pt idx="21">
                  <c:v>Poland</c:v>
                </c:pt>
                <c:pt idx="22">
                  <c:v>Latvia</c:v>
                </c:pt>
                <c:pt idx="23">
                  <c:v>Portugal</c:v>
                </c:pt>
                <c:pt idx="24">
                  <c:v>Italy</c:v>
                </c:pt>
                <c:pt idx="25">
                  <c:v>Austria</c:v>
                </c:pt>
                <c:pt idx="26">
                  <c:v>Croatia</c:v>
                </c:pt>
                <c:pt idx="27">
                  <c:v>New Member States (12)</c:v>
                </c:pt>
                <c:pt idx="28">
                  <c:v>Greece</c:v>
                </c:pt>
                <c:pt idx="29">
                  <c:v>Ireland</c:v>
                </c:pt>
                <c:pt idx="30">
                  <c:v>United Kingdom</c:v>
                </c:pt>
                <c:pt idx="31">
                  <c:v>Serbia</c:v>
                </c:pt>
                <c:pt idx="32">
                  <c:v>Romania</c:v>
                </c:pt>
                <c:pt idx="33">
                  <c:v>Hungary</c:v>
                </c:pt>
                <c:pt idx="34">
                  <c:v>MKDc/d</c:v>
                </c:pt>
                <c:pt idx="35">
                  <c:v>Bulgaria</c:v>
                </c:pt>
              </c:strCache>
            </c:strRef>
          </c:cat>
          <c:val>
            <c:numRef>
              <c:f>Figure16a16b!$B$12:$B$47</c:f>
              <c:numCache>
                <c:formatCode>#,##0.0</c:formatCode>
                <c:ptCount val="36"/>
                <c:pt idx="0">
                  <c:v>12.6</c:v>
                </c:pt>
                <c:pt idx="1">
                  <c:v>13.6</c:v>
                </c:pt>
                <c:pt idx="2">
                  <c:v>14.7</c:v>
                </c:pt>
                <c:pt idx="3">
                  <c:v>15.4</c:v>
                </c:pt>
                <c:pt idx="4">
                  <c:v>16.2</c:v>
                </c:pt>
                <c:pt idx="5">
                  <c:v>16.8</c:v>
                </c:pt>
                <c:pt idx="6">
                  <c:v>17.3</c:v>
                </c:pt>
                <c:pt idx="7">
                  <c:v>17.5</c:v>
                </c:pt>
                <c:pt idx="8">
                  <c:v>18.6</c:v>
                </c:pt>
                <c:pt idx="9">
                  <c:v>19.2</c:v>
                </c:pt>
                <c:pt idx="10">
                  <c:v>19.3</c:v>
                </c:pt>
                <c:pt idx="11">
                  <c:v>20.6</c:v>
                </c:pt>
                <c:pt idx="12">
                  <c:v>20.7</c:v>
                </c:pt>
                <c:pt idx="13">
                  <c:v>21.0</c:v>
                </c:pt>
                <c:pt idx="14">
                  <c:v>24.4</c:v>
                </c:pt>
                <c:pt idx="15">
                  <c:v>24.6</c:v>
                </c:pt>
                <c:pt idx="16">
                  <c:v>25.5</c:v>
                </c:pt>
                <c:pt idx="17">
                  <c:v>25.7</c:v>
                </c:pt>
                <c:pt idx="18">
                  <c:v>27.1</c:v>
                </c:pt>
                <c:pt idx="19">
                  <c:v>27.4</c:v>
                </c:pt>
                <c:pt idx="20">
                  <c:v>28.0</c:v>
                </c:pt>
                <c:pt idx="21">
                  <c:v>28.1</c:v>
                </c:pt>
                <c:pt idx="22">
                  <c:v>28.3</c:v>
                </c:pt>
                <c:pt idx="23">
                  <c:v>28.8</c:v>
                </c:pt>
                <c:pt idx="24">
                  <c:v>29.1</c:v>
                </c:pt>
                <c:pt idx="25">
                  <c:v>29.4</c:v>
                </c:pt>
                <c:pt idx="26">
                  <c:v>30.0</c:v>
                </c:pt>
                <c:pt idx="27">
                  <c:v>30.5</c:v>
                </c:pt>
                <c:pt idx="28">
                  <c:v>32.9</c:v>
                </c:pt>
                <c:pt idx="29">
                  <c:v>33.8</c:v>
                </c:pt>
                <c:pt idx="30">
                  <c:v>33.9</c:v>
                </c:pt>
                <c:pt idx="31">
                  <c:v>38.9</c:v>
                </c:pt>
                <c:pt idx="32">
                  <c:v>40.3</c:v>
                </c:pt>
                <c:pt idx="33">
                  <c:v>43.5</c:v>
                </c:pt>
                <c:pt idx="34">
                  <c:v>45.2</c:v>
                </c:pt>
                <c:pt idx="35">
                  <c:v>54.4</c:v>
                </c:pt>
              </c:numCache>
            </c:numRef>
          </c:val>
        </c:ser>
        <c:dLbls>
          <c:showLegendKey val="0"/>
          <c:showVal val="0"/>
          <c:showCatName val="0"/>
          <c:showSerName val="0"/>
          <c:showPercent val="0"/>
          <c:showBubbleSize val="0"/>
        </c:dLbls>
        <c:gapWidth val="150"/>
        <c:axId val="2080281152"/>
        <c:axId val="2078284688"/>
      </c:barChart>
      <c:catAx>
        <c:axId val="2080281152"/>
        <c:scaling>
          <c:orientation val="minMax"/>
        </c:scaling>
        <c:delete val="0"/>
        <c:axPos val="b"/>
        <c:numFmt formatCode="General" sourceLinked="1"/>
        <c:majorTickMark val="out"/>
        <c:minorTickMark val="none"/>
        <c:tickLblPos val="nextTo"/>
        <c:crossAx val="2078284688"/>
        <c:crosses val="autoZero"/>
        <c:auto val="1"/>
        <c:lblAlgn val="ctr"/>
        <c:lblOffset val="100"/>
        <c:noMultiLvlLbl val="0"/>
      </c:catAx>
      <c:valAx>
        <c:axId val="2078284688"/>
        <c:scaling>
          <c:orientation val="minMax"/>
        </c:scaling>
        <c:delete val="0"/>
        <c:axPos val="l"/>
        <c:majorGridlines/>
        <c:numFmt formatCode="#,##0.0" sourceLinked="1"/>
        <c:majorTickMark val="out"/>
        <c:minorTickMark val="none"/>
        <c:tickLblPos val="nextTo"/>
        <c:crossAx val="2080281152"/>
        <c:crosses val="autoZero"/>
        <c:crossBetween val="between"/>
      </c:valAx>
    </c:plotArea>
    <c:plotVisOnly val="1"/>
    <c:dispBlanksAs val="gap"/>
    <c:showDLblsOverMax val="0"/>
  </c:chart>
  <c:printSettings>
    <c:headerFooter/>
    <c:pageMargins b="1.0" l="0.75" r="0.75" t="1.0"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ser>
          <c:idx val="0"/>
          <c:order val="0"/>
          <c:spPr>
            <a:solidFill>
              <a:schemeClr val="tx2">
                <a:lumMod val="75000"/>
              </a:schemeClr>
            </a:solidFill>
          </c:spPr>
          <c:invertIfNegative val="0"/>
          <c:cat>
            <c:strRef>
              <c:f>Figure16a16b!$A$77:$A$112</c:f>
              <c:strCache>
                <c:ptCount val="36"/>
                <c:pt idx="0">
                  <c:v>Norway</c:v>
                </c:pt>
                <c:pt idx="1">
                  <c:v>Finland</c:v>
                </c:pt>
                <c:pt idx="2">
                  <c:v>Sweden</c:v>
                </c:pt>
                <c:pt idx="3">
                  <c:v>Czech Republic</c:v>
                </c:pt>
                <c:pt idx="4">
                  <c:v>Denmark</c:v>
                </c:pt>
                <c:pt idx="5">
                  <c:v>Switzerland</c:v>
                </c:pt>
                <c:pt idx="6">
                  <c:v>Slovenia</c:v>
                </c:pt>
                <c:pt idx="7">
                  <c:v>Belgium</c:v>
                </c:pt>
                <c:pt idx="8">
                  <c:v>Iceland</c:v>
                </c:pt>
                <c:pt idx="9">
                  <c:v>Germany </c:v>
                </c:pt>
                <c:pt idx="10">
                  <c:v>Estonia</c:v>
                </c:pt>
                <c:pt idx="11">
                  <c:v>France</c:v>
                </c:pt>
                <c:pt idx="12">
                  <c:v>Netherlands</c:v>
                </c:pt>
                <c:pt idx="13">
                  <c:v>Austria</c:v>
                </c:pt>
                <c:pt idx="14">
                  <c:v>Luxembourg</c:v>
                </c:pt>
                <c:pt idx="15">
                  <c:v>EU-15</c:v>
                </c:pt>
                <c:pt idx="16">
                  <c:v>EU-27</c:v>
                </c:pt>
                <c:pt idx="17">
                  <c:v>Croatia</c:v>
                </c:pt>
                <c:pt idx="18">
                  <c:v>Cyprus</c:v>
                </c:pt>
                <c:pt idx="19">
                  <c:v>Spain</c:v>
                </c:pt>
                <c:pt idx="20">
                  <c:v>Poland</c:v>
                </c:pt>
                <c:pt idx="21">
                  <c:v>United Kingdom</c:v>
                </c:pt>
                <c:pt idx="22">
                  <c:v>Italy</c:v>
                </c:pt>
                <c:pt idx="23">
                  <c:v>Portugal</c:v>
                </c:pt>
                <c:pt idx="24">
                  <c:v>Malta</c:v>
                </c:pt>
                <c:pt idx="25">
                  <c:v>Slovakia</c:v>
                </c:pt>
                <c:pt idx="26">
                  <c:v>New Mem States (12)</c:v>
                </c:pt>
                <c:pt idx="27">
                  <c:v>Ireland</c:v>
                </c:pt>
                <c:pt idx="28">
                  <c:v>Greece</c:v>
                </c:pt>
                <c:pt idx="29">
                  <c:v>Latvia</c:v>
                </c:pt>
                <c:pt idx="30">
                  <c:v>Hungary</c:v>
                </c:pt>
                <c:pt idx="31">
                  <c:v>Lithuania</c:v>
                </c:pt>
                <c:pt idx="32">
                  <c:v>Serbia</c:v>
                </c:pt>
                <c:pt idx="33">
                  <c:v>TFYR of Macdedonia</c:v>
                </c:pt>
                <c:pt idx="34">
                  <c:v>Romania</c:v>
                </c:pt>
                <c:pt idx="35">
                  <c:v>Bulgaria</c:v>
                </c:pt>
              </c:strCache>
            </c:strRef>
          </c:cat>
          <c:val>
            <c:numRef>
              <c:f>Figure16a16b!$B$77:$B$112</c:f>
              <c:numCache>
                <c:formatCode>#,##0.0</c:formatCode>
                <c:ptCount val="36"/>
                <c:pt idx="0">
                  <c:v>12.2</c:v>
                </c:pt>
                <c:pt idx="1">
                  <c:v>12.9</c:v>
                </c:pt>
                <c:pt idx="2">
                  <c:v>13.2</c:v>
                </c:pt>
                <c:pt idx="3">
                  <c:v>14.3</c:v>
                </c:pt>
                <c:pt idx="4">
                  <c:v>16.8</c:v>
                </c:pt>
                <c:pt idx="5">
                  <c:v>17.8</c:v>
                </c:pt>
                <c:pt idx="6">
                  <c:v>18.0</c:v>
                </c:pt>
                <c:pt idx="7">
                  <c:v>18.5</c:v>
                </c:pt>
                <c:pt idx="8">
                  <c:v>18.6</c:v>
                </c:pt>
                <c:pt idx="9">
                  <c:v>19.1</c:v>
                </c:pt>
                <c:pt idx="10">
                  <c:v>19.7</c:v>
                </c:pt>
                <c:pt idx="11">
                  <c:v>20.2</c:v>
                </c:pt>
                <c:pt idx="12">
                  <c:v>20.6</c:v>
                </c:pt>
                <c:pt idx="13">
                  <c:v>22.1</c:v>
                </c:pt>
                <c:pt idx="14">
                  <c:v>23.9</c:v>
                </c:pt>
                <c:pt idx="15">
                  <c:v>24.6</c:v>
                </c:pt>
                <c:pt idx="16">
                  <c:v>26.5</c:v>
                </c:pt>
                <c:pt idx="17">
                  <c:v>27.0</c:v>
                </c:pt>
                <c:pt idx="18">
                  <c:v>28.1</c:v>
                </c:pt>
                <c:pt idx="19">
                  <c:v>28.4</c:v>
                </c:pt>
                <c:pt idx="20">
                  <c:v>28.7</c:v>
                </c:pt>
                <c:pt idx="21">
                  <c:v>28.9</c:v>
                </c:pt>
                <c:pt idx="22">
                  <c:v>30.7</c:v>
                </c:pt>
                <c:pt idx="23">
                  <c:v>30.8</c:v>
                </c:pt>
                <c:pt idx="24">
                  <c:v>31.9</c:v>
                </c:pt>
                <c:pt idx="25">
                  <c:v>31.9</c:v>
                </c:pt>
                <c:pt idx="26">
                  <c:v>34.4</c:v>
                </c:pt>
                <c:pt idx="27">
                  <c:v>35.0</c:v>
                </c:pt>
                <c:pt idx="28">
                  <c:v>38.1</c:v>
                </c:pt>
                <c:pt idx="29">
                  <c:v>38.6</c:v>
                </c:pt>
                <c:pt idx="30">
                  <c:v>39.9</c:v>
                </c:pt>
                <c:pt idx="31">
                  <c:v>42.8</c:v>
                </c:pt>
                <c:pt idx="32">
                  <c:v>43.6</c:v>
                </c:pt>
                <c:pt idx="33">
                  <c:v>43.6</c:v>
                </c:pt>
                <c:pt idx="34">
                  <c:v>46.1</c:v>
                </c:pt>
                <c:pt idx="35">
                  <c:v>52.3</c:v>
                </c:pt>
              </c:numCache>
            </c:numRef>
          </c:val>
        </c:ser>
        <c:dLbls>
          <c:showLegendKey val="0"/>
          <c:showVal val="0"/>
          <c:showCatName val="0"/>
          <c:showSerName val="0"/>
          <c:showPercent val="0"/>
          <c:showBubbleSize val="0"/>
        </c:dLbls>
        <c:gapWidth val="150"/>
        <c:axId val="2088874864"/>
        <c:axId val="2080291040"/>
      </c:barChart>
      <c:catAx>
        <c:axId val="2088874864"/>
        <c:scaling>
          <c:orientation val="minMax"/>
        </c:scaling>
        <c:delete val="0"/>
        <c:axPos val="b"/>
        <c:numFmt formatCode="General" sourceLinked="1"/>
        <c:majorTickMark val="out"/>
        <c:minorTickMark val="none"/>
        <c:tickLblPos val="nextTo"/>
        <c:crossAx val="2080291040"/>
        <c:crosses val="autoZero"/>
        <c:auto val="1"/>
        <c:lblAlgn val="ctr"/>
        <c:lblOffset val="100"/>
        <c:noMultiLvlLbl val="0"/>
      </c:catAx>
      <c:valAx>
        <c:axId val="2080291040"/>
        <c:scaling>
          <c:orientation val="minMax"/>
        </c:scaling>
        <c:delete val="0"/>
        <c:axPos val="l"/>
        <c:majorGridlines/>
        <c:numFmt formatCode="#,##0.0" sourceLinked="1"/>
        <c:majorTickMark val="out"/>
        <c:minorTickMark val="none"/>
        <c:tickLblPos val="nextTo"/>
        <c:crossAx val="2088874864"/>
        <c:crosses val="autoZero"/>
        <c:crossBetween val="between"/>
      </c:valAx>
    </c:plotArea>
    <c:plotVisOnly val="1"/>
    <c:dispBlanksAs val="gap"/>
    <c:showDLblsOverMax val="0"/>
  </c:chart>
  <c:printSettings>
    <c:headerFooter/>
    <c:pageMargins b="1.0" l="0.75" r="0.75" t="1.0"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col"/>
        <c:grouping val="clustered"/>
        <c:varyColors val="0"/>
        <c:ser>
          <c:idx val="0"/>
          <c:order val="0"/>
          <c:tx>
            <c:strRef>
              <c:f>Figure17a17b!$B$11</c:f>
              <c:strCache>
                <c:ptCount val="1"/>
                <c:pt idx="0">
                  <c:v>2013</c:v>
                </c:pt>
              </c:strCache>
            </c:strRef>
          </c:tx>
          <c:invertIfNegative val="0"/>
          <c:cat>
            <c:strRef>
              <c:f>Figure17a17b!$A$12:$A$47</c:f>
              <c:strCache>
                <c:ptCount val="36"/>
                <c:pt idx="0">
                  <c:v>Denmark</c:v>
                </c:pt>
                <c:pt idx="1">
                  <c:v>Norway</c:v>
                </c:pt>
                <c:pt idx="2">
                  <c:v>Finland</c:v>
                </c:pt>
                <c:pt idx="3">
                  <c:v>Sweden</c:v>
                </c:pt>
                <c:pt idx="4">
                  <c:v>Switzerland</c:v>
                </c:pt>
                <c:pt idx="5">
                  <c:v>Czech Republic</c:v>
                </c:pt>
                <c:pt idx="6">
                  <c:v>Netherlands</c:v>
                </c:pt>
                <c:pt idx="7">
                  <c:v>Iceland</c:v>
                </c:pt>
                <c:pt idx="8">
                  <c:v>Slovenia</c:v>
                </c:pt>
                <c:pt idx="9">
                  <c:v>Austria</c:v>
                </c:pt>
                <c:pt idx="10">
                  <c:v>France</c:v>
                </c:pt>
                <c:pt idx="11">
                  <c:v>Germany</c:v>
                </c:pt>
                <c:pt idx="12">
                  <c:v>Estonia</c:v>
                </c:pt>
                <c:pt idx="13">
                  <c:v>Luxembourg</c:v>
                </c:pt>
                <c:pt idx="14">
                  <c:v>Belgium</c:v>
                </c:pt>
                <c:pt idx="15">
                  <c:v>Slovakia</c:v>
                </c:pt>
                <c:pt idx="16">
                  <c:v>Cyprus</c:v>
                </c:pt>
                <c:pt idx="17">
                  <c:v>EU-15</c:v>
                </c:pt>
                <c:pt idx="18">
                  <c:v>EU-27</c:v>
                </c:pt>
                <c:pt idx="19">
                  <c:v>Poland</c:v>
                </c:pt>
                <c:pt idx="20">
                  <c:v>Croatia</c:v>
                </c:pt>
                <c:pt idx="21">
                  <c:v>Portugal</c:v>
                </c:pt>
                <c:pt idx="22">
                  <c:v>United Kingdom</c:v>
                </c:pt>
                <c:pt idx="23">
                  <c:v>Malta</c:v>
                </c:pt>
                <c:pt idx="24">
                  <c:v>Italy</c:v>
                </c:pt>
                <c:pt idx="25">
                  <c:v>Ireland</c:v>
                </c:pt>
                <c:pt idx="26">
                  <c:v>New Mem States (12)</c:v>
                </c:pt>
                <c:pt idx="27">
                  <c:v>Spain</c:v>
                </c:pt>
                <c:pt idx="28">
                  <c:v>Hungary</c:v>
                </c:pt>
                <c:pt idx="29">
                  <c:v>Serbia</c:v>
                </c:pt>
                <c:pt idx="30">
                  <c:v>Greece</c:v>
                </c:pt>
                <c:pt idx="31">
                  <c:v>Latvia</c:v>
                </c:pt>
                <c:pt idx="32">
                  <c:v>Lithuania</c:v>
                </c:pt>
                <c:pt idx="33">
                  <c:v>Romania</c:v>
                </c:pt>
                <c:pt idx="34">
                  <c:v>TFYR of Macedonia</c:v>
                </c:pt>
                <c:pt idx="35">
                  <c:v>Bulgaria</c:v>
                </c:pt>
              </c:strCache>
            </c:strRef>
          </c:cat>
          <c:val>
            <c:numRef>
              <c:f>Figure17a17b!$B$12:$B$47</c:f>
              <c:numCache>
                <c:formatCode>#,##0.0</c:formatCode>
                <c:ptCount val="36"/>
                <c:pt idx="0">
                  <c:v>9.6</c:v>
                </c:pt>
                <c:pt idx="1">
                  <c:v>10.1</c:v>
                </c:pt>
                <c:pt idx="2">
                  <c:v>11.7</c:v>
                </c:pt>
                <c:pt idx="3">
                  <c:v>15.6</c:v>
                </c:pt>
                <c:pt idx="4">
                  <c:v>16.3</c:v>
                </c:pt>
                <c:pt idx="5">
                  <c:v>16.5</c:v>
                </c:pt>
                <c:pt idx="6">
                  <c:v>16.7</c:v>
                </c:pt>
                <c:pt idx="7">
                  <c:v>17.2</c:v>
                </c:pt>
                <c:pt idx="8">
                  <c:v>18.3</c:v>
                </c:pt>
                <c:pt idx="9">
                  <c:v>20.4</c:v>
                </c:pt>
                <c:pt idx="10">
                  <c:v>20.4</c:v>
                </c:pt>
                <c:pt idx="11">
                  <c:v>22.0</c:v>
                </c:pt>
                <c:pt idx="12">
                  <c:v>22.2</c:v>
                </c:pt>
                <c:pt idx="13">
                  <c:v>24.1</c:v>
                </c:pt>
                <c:pt idx="14">
                  <c:v>24.8</c:v>
                </c:pt>
                <c:pt idx="15">
                  <c:v>26.6</c:v>
                </c:pt>
                <c:pt idx="16">
                  <c:v>26.9</c:v>
                </c:pt>
                <c:pt idx="17">
                  <c:v>27.6</c:v>
                </c:pt>
                <c:pt idx="18">
                  <c:v>29.8</c:v>
                </c:pt>
                <c:pt idx="19">
                  <c:v>30.0</c:v>
                </c:pt>
                <c:pt idx="20">
                  <c:v>30.8</c:v>
                </c:pt>
                <c:pt idx="21">
                  <c:v>32.2</c:v>
                </c:pt>
                <c:pt idx="22">
                  <c:v>33.4</c:v>
                </c:pt>
                <c:pt idx="23">
                  <c:v>33.6</c:v>
                </c:pt>
                <c:pt idx="24">
                  <c:v>35.3</c:v>
                </c:pt>
                <c:pt idx="25">
                  <c:v>37.1</c:v>
                </c:pt>
                <c:pt idx="26">
                  <c:v>38.6</c:v>
                </c:pt>
                <c:pt idx="27">
                  <c:v>39.4</c:v>
                </c:pt>
                <c:pt idx="28">
                  <c:v>41.0</c:v>
                </c:pt>
                <c:pt idx="29">
                  <c:v>42.8</c:v>
                </c:pt>
                <c:pt idx="30">
                  <c:v>43.7</c:v>
                </c:pt>
                <c:pt idx="31">
                  <c:v>44.4</c:v>
                </c:pt>
                <c:pt idx="32">
                  <c:v>48.8</c:v>
                </c:pt>
                <c:pt idx="33">
                  <c:v>53.7</c:v>
                </c:pt>
                <c:pt idx="34">
                  <c:v>55.1</c:v>
                </c:pt>
                <c:pt idx="35">
                  <c:v>57.0</c:v>
                </c:pt>
              </c:numCache>
            </c:numRef>
          </c:val>
        </c:ser>
        <c:dLbls>
          <c:showLegendKey val="0"/>
          <c:showVal val="0"/>
          <c:showCatName val="0"/>
          <c:showSerName val="0"/>
          <c:showPercent val="0"/>
          <c:showBubbleSize val="0"/>
        </c:dLbls>
        <c:gapWidth val="150"/>
        <c:axId val="2080334288"/>
        <c:axId val="2080337552"/>
      </c:barChart>
      <c:catAx>
        <c:axId val="2080334288"/>
        <c:scaling>
          <c:orientation val="minMax"/>
        </c:scaling>
        <c:delete val="0"/>
        <c:axPos val="b"/>
        <c:numFmt formatCode="General" sourceLinked="1"/>
        <c:majorTickMark val="out"/>
        <c:minorTickMark val="none"/>
        <c:tickLblPos val="nextTo"/>
        <c:crossAx val="2080337552"/>
        <c:crosses val="autoZero"/>
        <c:auto val="1"/>
        <c:lblAlgn val="ctr"/>
        <c:lblOffset val="100"/>
        <c:noMultiLvlLbl val="0"/>
      </c:catAx>
      <c:valAx>
        <c:axId val="2080337552"/>
        <c:scaling>
          <c:orientation val="minMax"/>
        </c:scaling>
        <c:delete val="0"/>
        <c:axPos val="l"/>
        <c:majorGridlines/>
        <c:numFmt formatCode="#,##0.0" sourceLinked="1"/>
        <c:majorTickMark val="out"/>
        <c:minorTickMark val="none"/>
        <c:tickLblPos val="nextTo"/>
        <c:crossAx val="2080334288"/>
        <c:crosses val="autoZero"/>
        <c:crossBetween val="between"/>
      </c:valAx>
    </c:plotArea>
    <c:plotVisOnly val="1"/>
    <c:dispBlanksAs val="gap"/>
    <c:showDLblsOverMax val="0"/>
  </c:chart>
  <c:printSettings>
    <c:headerFooter/>
    <c:pageMargins b="1.0" l="0.75" r="0.75" t="1.0"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col"/>
        <c:grouping val="clustered"/>
        <c:varyColors val="0"/>
        <c:ser>
          <c:idx val="0"/>
          <c:order val="0"/>
          <c:tx>
            <c:strRef>
              <c:f>Figure17a17b!$B$67</c:f>
              <c:strCache>
                <c:ptCount val="1"/>
                <c:pt idx="0">
                  <c:v>2013</c:v>
                </c:pt>
              </c:strCache>
            </c:strRef>
          </c:tx>
          <c:spPr>
            <a:solidFill>
              <a:schemeClr val="tx2">
                <a:lumMod val="75000"/>
              </a:schemeClr>
            </a:solidFill>
          </c:spPr>
          <c:invertIfNegative val="0"/>
          <c:cat>
            <c:strRef>
              <c:f>Figure17a17b!$A$68:$A$103</c:f>
              <c:strCache>
                <c:ptCount val="36"/>
                <c:pt idx="0">
                  <c:v>Switzerland</c:v>
                </c:pt>
                <c:pt idx="1">
                  <c:v>Iceland</c:v>
                </c:pt>
                <c:pt idx="2">
                  <c:v>Austria</c:v>
                </c:pt>
                <c:pt idx="3">
                  <c:v>Czech Republic</c:v>
                </c:pt>
                <c:pt idx="4">
                  <c:v>Slovenia</c:v>
                </c:pt>
                <c:pt idx="5">
                  <c:v>Slovakia</c:v>
                </c:pt>
                <c:pt idx="6">
                  <c:v>Belgium</c:v>
                </c:pt>
                <c:pt idx="7">
                  <c:v>Finland</c:v>
                </c:pt>
                <c:pt idx="8">
                  <c:v>Luxembourg</c:v>
                </c:pt>
                <c:pt idx="9">
                  <c:v>Estonia</c:v>
                </c:pt>
                <c:pt idx="10">
                  <c:v>Malta</c:v>
                </c:pt>
                <c:pt idx="11">
                  <c:v>Germany </c:v>
                </c:pt>
                <c:pt idx="12">
                  <c:v>France</c:v>
                </c:pt>
                <c:pt idx="13">
                  <c:v>Netherlands</c:v>
                </c:pt>
                <c:pt idx="14">
                  <c:v>Cyprus</c:v>
                </c:pt>
                <c:pt idx="15">
                  <c:v>EU-15</c:v>
                </c:pt>
                <c:pt idx="16">
                  <c:v>Sweden</c:v>
                </c:pt>
                <c:pt idx="17">
                  <c:v>Poland</c:v>
                </c:pt>
                <c:pt idx="18">
                  <c:v>Lithuania</c:v>
                </c:pt>
                <c:pt idx="19">
                  <c:v>EU-27</c:v>
                </c:pt>
                <c:pt idx="20">
                  <c:v>Portugal</c:v>
                </c:pt>
                <c:pt idx="21">
                  <c:v>Croatia</c:v>
                </c:pt>
                <c:pt idx="22">
                  <c:v>United Kingdom</c:v>
                </c:pt>
                <c:pt idx="23">
                  <c:v>Norway</c:v>
                </c:pt>
                <c:pt idx="24">
                  <c:v>New Mem States (12)</c:v>
                </c:pt>
                <c:pt idx="25">
                  <c:v>Spain</c:v>
                </c:pt>
                <c:pt idx="26">
                  <c:v>Italy</c:v>
                </c:pt>
                <c:pt idx="27">
                  <c:v>Latvia</c:v>
                </c:pt>
                <c:pt idx="28">
                  <c:v>Ireland</c:v>
                </c:pt>
                <c:pt idx="29">
                  <c:v>Denmark</c:v>
                </c:pt>
                <c:pt idx="30">
                  <c:v>Hungary</c:v>
                </c:pt>
                <c:pt idx="31">
                  <c:v>Serbia</c:v>
                </c:pt>
                <c:pt idx="32">
                  <c:v>Bulgaria</c:v>
                </c:pt>
                <c:pt idx="33">
                  <c:v>Romania</c:v>
                </c:pt>
                <c:pt idx="34">
                  <c:v>Greece</c:v>
                </c:pt>
                <c:pt idx="35">
                  <c:v>TFYR of Macedonia</c:v>
                </c:pt>
              </c:strCache>
            </c:strRef>
          </c:cat>
          <c:val>
            <c:numRef>
              <c:f>Figure17a17b!$B$68:$B$103</c:f>
              <c:numCache>
                <c:formatCode>#,##0.0</c:formatCode>
                <c:ptCount val="36"/>
                <c:pt idx="0">
                  <c:v>14.3</c:v>
                </c:pt>
                <c:pt idx="1">
                  <c:v>19.3</c:v>
                </c:pt>
                <c:pt idx="2">
                  <c:v>19.7</c:v>
                </c:pt>
                <c:pt idx="3">
                  <c:v>20.1</c:v>
                </c:pt>
                <c:pt idx="4">
                  <c:v>20.3</c:v>
                </c:pt>
                <c:pt idx="5">
                  <c:v>22.6</c:v>
                </c:pt>
                <c:pt idx="6">
                  <c:v>23.3</c:v>
                </c:pt>
                <c:pt idx="7">
                  <c:v>23.6</c:v>
                </c:pt>
                <c:pt idx="8">
                  <c:v>24.0</c:v>
                </c:pt>
                <c:pt idx="9">
                  <c:v>25.6</c:v>
                </c:pt>
                <c:pt idx="10">
                  <c:v>25.6</c:v>
                </c:pt>
                <c:pt idx="11">
                  <c:v>27.2</c:v>
                </c:pt>
                <c:pt idx="12">
                  <c:v>27.3</c:v>
                </c:pt>
                <c:pt idx="13">
                  <c:v>28.4</c:v>
                </c:pt>
                <c:pt idx="14">
                  <c:v>30.7</c:v>
                </c:pt>
                <c:pt idx="15">
                  <c:v>31.6</c:v>
                </c:pt>
                <c:pt idx="16">
                  <c:v>31.6</c:v>
                </c:pt>
                <c:pt idx="17">
                  <c:v>32.1</c:v>
                </c:pt>
                <c:pt idx="18">
                  <c:v>32.3</c:v>
                </c:pt>
                <c:pt idx="19">
                  <c:v>32.4</c:v>
                </c:pt>
                <c:pt idx="20">
                  <c:v>32.9</c:v>
                </c:pt>
                <c:pt idx="21">
                  <c:v>33.1</c:v>
                </c:pt>
                <c:pt idx="22">
                  <c:v>34.5</c:v>
                </c:pt>
                <c:pt idx="23">
                  <c:v>34.7</c:v>
                </c:pt>
                <c:pt idx="24">
                  <c:v>35.5</c:v>
                </c:pt>
                <c:pt idx="25">
                  <c:v>35.7</c:v>
                </c:pt>
                <c:pt idx="26">
                  <c:v>36.1</c:v>
                </c:pt>
                <c:pt idx="27">
                  <c:v>37.8</c:v>
                </c:pt>
                <c:pt idx="28">
                  <c:v>38.4</c:v>
                </c:pt>
                <c:pt idx="29">
                  <c:v>41.0</c:v>
                </c:pt>
                <c:pt idx="30">
                  <c:v>42.5</c:v>
                </c:pt>
                <c:pt idx="31">
                  <c:v>44.1</c:v>
                </c:pt>
                <c:pt idx="32">
                  <c:v>46.2</c:v>
                </c:pt>
                <c:pt idx="33">
                  <c:v>48.1</c:v>
                </c:pt>
                <c:pt idx="34">
                  <c:v>50.7</c:v>
                </c:pt>
                <c:pt idx="35">
                  <c:v>52.2</c:v>
                </c:pt>
              </c:numCache>
            </c:numRef>
          </c:val>
        </c:ser>
        <c:dLbls>
          <c:showLegendKey val="0"/>
          <c:showVal val="0"/>
          <c:showCatName val="0"/>
          <c:showSerName val="0"/>
          <c:showPercent val="0"/>
          <c:showBubbleSize val="0"/>
        </c:dLbls>
        <c:gapWidth val="150"/>
        <c:axId val="2079417648"/>
        <c:axId val="2079414368"/>
      </c:barChart>
      <c:catAx>
        <c:axId val="2079417648"/>
        <c:scaling>
          <c:orientation val="minMax"/>
        </c:scaling>
        <c:delete val="0"/>
        <c:axPos val="b"/>
        <c:numFmt formatCode="General" sourceLinked="1"/>
        <c:majorTickMark val="out"/>
        <c:minorTickMark val="none"/>
        <c:tickLblPos val="nextTo"/>
        <c:crossAx val="2079414368"/>
        <c:crosses val="autoZero"/>
        <c:auto val="1"/>
        <c:lblAlgn val="ctr"/>
        <c:lblOffset val="100"/>
        <c:noMultiLvlLbl val="0"/>
      </c:catAx>
      <c:valAx>
        <c:axId val="2079414368"/>
        <c:scaling>
          <c:orientation val="minMax"/>
        </c:scaling>
        <c:delete val="0"/>
        <c:axPos val="l"/>
        <c:majorGridlines/>
        <c:numFmt formatCode="#,##0.0" sourceLinked="1"/>
        <c:majorTickMark val="out"/>
        <c:minorTickMark val="none"/>
        <c:tickLblPos val="nextTo"/>
        <c:crossAx val="2079417648"/>
        <c:crosses val="autoZero"/>
        <c:crossBetween val="between"/>
      </c:valAx>
    </c:plotArea>
    <c:plotVisOnly val="1"/>
    <c:dispBlanksAs val="gap"/>
    <c:showDLblsOverMax val="0"/>
  </c:chart>
  <c:printSettings>
    <c:headerFooter/>
    <c:pageMargins b="1.0" l="0.75" r="0.75" t="1.0"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Figure18!$B$5</c:f>
              <c:strCache>
                <c:ptCount val="1"/>
                <c:pt idx="0">
                  <c:v>Boys</c:v>
                </c:pt>
              </c:strCache>
            </c:strRef>
          </c:tx>
          <c:invertIfNegative val="0"/>
          <c:cat>
            <c:strRef>
              <c:f>Figure18!$A$6:$A$14</c:f>
              <c:strCache>
                <c:ptCount val="9"/>
                <c:pt idx="0">
                  <c:v>Geogia; 2014</c:v>
                </c:pt>
                <c:pt idx="1">
                  <c:v>Greece; 2013</c:v>
                </c:pt>
                <c:pt idx="2">
                  <c:v>Kyrgyzstan; 2014</c:v>
                </c:pt>
                <c:pt idx="3">
                  <c:v>Latvia; 2014</c:v>
                </c:pt>
                <c:pt idx="4">
                  <c:v>Lithuania; 2014</c:v>
                </c:pt>
                <c:pt idx="5">
                  <c:v>Montenegro; 2014</c:v>
                </c:pt>
                <c:pt idx="6">
                  <c:v>Republic of Moldova; 2013</c:v>
                </c:pt>
                <c:pt idx="7">
                  <c:v>San Marino; 2014</c:v>
                </c:pt>
                <c:pt idx="8">
                  <c:v>Serbia; 2013</c:v>
                </c:pt>
              </c:strCache>
            </c:strRef>
          </c:cat>
          <c:val>
            <c:numRef>
              <c:f>Figure18!$B$6:$B$14</c:f>
              <c:numCache>
                <c:formatCode>0.0</c:formatCode>
                <c:ptCount val="9"/>
                <c:pt idx="0">
                  <c:v>4.0</c:v>
                </c:pt>
                <c:pt idx="1">
                  <c:v>2.5</c:v>
                </c:pt>
                <c:pt idx="2">
                  <c:v>7.6</c:v>
                </c:pt>
                <c:pt idx="3">
                  <c:v>4.3</c:v>
                </c:pt>
                <c:pt idx="4">
                  <c:v>3.1</c:v>
                </c:pt>
                <c:pt idx="5">
                  <c:v>2.0</c:v>
                </c:pt>
                <c:pt idx="6">
                  <c:v>2.4</c:v>
                </c:pt>
                <c:pt idx="7">
                  <c:v>0.4</c:v>
                </c:pt>
                <c:pt idx="8">
                  <c:v>1.7</c:v>
                </c:pt>
              </c:numCache>
            </c:numRef>
          </c:val>
        </c:ser>
        <c:ser>
          <c:idx val="1"/>
          <c:order val="1"/>
          <c:tx>
            <c:strRef>
              <c:f>Figure18!$C$5</c:f>
              <c:strCache>
                <c:ptCount val="1"/>
                <c:pt idx="0">
                  <c:v>Girls</c:v>
                </c:pt>
              </c:strCache>
            </c:strRef>
          </c:tx>
          <c:invertIfNegative val="0"/>
          <c:cat>
            <c:strRef>
              <c:f>Figure18!$A$6:$A$14</c:f>
              <c:strCache>
                <c:ptCount val="9"/>
                <c:pt idx="0">
                  <c:v>Geogia; 2014</c:v>
                </c:pt>
                <c:pt idx="1">
                  <c:v>Greece; 2013</c:v>
                </c:pt>
                <c:pt idx="2">
                  <c:v>Kyrgyzstan; 2014</c:v>
                </c:pt>
                <c:pt idx="3">
                  <c:v>Latvia; 2014</c:v>
                </c:pt>
                <c:pt idx="4">
                  <c:v>Lithuania; 2014</c:v>
                </c:pt>
                <c:pt idx="5">
                  <c:v>Montenegro; 2014</c:v>
                </c:pt>
                <c:pt idx="6">
                  <c:v>Republic of Moldova; 2013</c:v>
                </c:pt>
                <c:pt idx="7">
                  <c:v>San Marino; 2014</c:v>
                </c:pt>
                <c:pt idx="8">
                  <c:v>Serbia; 2013</c:v>
                </c:pt>
              </c:strCache>
            </c:strRef>
          </c:cat>
          <c:val>
            <c:numRef>
              <c:f>Figure18!$C$6:$C$14</c:f>
              <c:numCache>
                <c:formatCode>0.0</c:formatCode>
                <c:ptCount val="9"/>
                <c:pt idx="0">
                  <c:v>2.8</c:v>
                </c:pt>
                <c:pt idx="1">
                  <c:v>1.3</c:v>
                </c:pt>
                <c:pt idx="2">
                  <c:v>2.9</c:v>
                </c:pt>
                <c:pt idx="3">
                  <c:v>2.0</c:v>
                </c:pt>
                <c:pt idx="4">
                  <c:v>1.2</c:v>
                </c:pt>
                <c:pt idx="5">
                  <c:v>1.0</c:v>
                </c:pt>
                <c:pt idx="6">
                  <c:v>2.0</c:v>
                </c:pt>
                <c:pt idx="7">
                  <c:v>0.4</c:v>
                </c:pt>
                <c:pt idx="8">
                  <c:v>1.4</c:v>
                </c:pt>
              </c:numCache>
            </c:numRef>
          </c:val>
        </c:ser>
        <c:dLbls>
          <c:showLegendKey val="0"/>
          <c:showVal val="0"/>
          <c:showCatName val="0"/>
          <c:showSerName val="0"/>
          <c:showPercent val="0"/>
          <c:showBubbleSize val="0"/>
        </c:dLbls>
        <c:gapWidth val="150"/>
        <c:axId val="2079408336"/>
        <c:axId val="2088910896"/>
      </c:barChart>
      <c:catAx>
        <c:axId val="2079408336"/>
        <c:scaling>
          <c:orientation val="minMax"/>
        </c:scaling>
        <c:delete val="0"/>
        <c:axPos val="b"/>
        <c:numFmt formatCode="General" sourceLinked="1"/>
        <c:majorTickMark val="out"/>
        <c:minorTickMark val="none"/>
        <c:tickLblPos val="nextTo"/>
        <c:txPr>
          <a:bodyPr/>
          <a:lstStyle/>
          <a:p>
            <a:pPr>
              <a:defRPr lang="en-GB"/>
            </a:pPr>
            <a:endParaRPr lang="en-US"/>
          </a:p>
        </c:txPr>
        <c:crossAx val="2088910896"/>
        <c:crosses val="autoZero"/>
        <c:auto val="1"/>
        <c:lblAlgn val="ctr"/>
        <c:lblOffset val="100"/>
        <c:noMultiLvlLbl val="0"/>
      </c:catAx>
      <c:valAx>
        <c:axId val="2088910896"/>
        <c:scaling>
          <c:orientation val="minMax"/>
          <c:max val="10.0"/>
        </c:scaling>
        <c:delete val="0"/>
        <c:axPos val="l"/>
        <c:majorGridlines/>
        <c:numFmt formatCode="0.0" sourceLinked="1"/>
        <c:majorTickMark val="out"/>
        <c:minorTickMark val="none"/>
        <c:tickLblPos val="nextTo"/>
        <c:txPr>
          <a:bodyPr/>
          <a:lstStyle/>
          <a:p>
            <a:pPr>
              <a:defRPr lang="en-GB"/>
            </a:pPr>
            <a:endParaRPr lang="en-US"/>
          </a:p>
        </c:txPr>
        <c:crossAx val="2079408336"/>
        <c:crosses val="autoZero"/>
        <c:crossBetween val="between"/>
      </c:valAx>
    </c:plotArea>
    <c:legend>
      <c:legendPos val="r"/>
      <c:overlay val="0"/>
      <c:txPr>
        <a:bodyPr/>
        <a:lstStyle/>
        <a:p>
          <a:pPr>
            <a:defRPr lang="en-GB"/>
          </a:pPr>
          <a:endParaRPr lang="en-US"/>
        </a:p>
      </c:txPr>
    </c:legend>
    <c:plotVisOnly val="1"/>
    <c:dispBlanksAs val="gap"/>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1"/>
          <c:order val="0"/>
          <c:tx>
            <c:strRef>
              <c:f>Figure19!$B$5</c:f>
              <c:strCache>
                <c:ptCount val="1"/>
                <c:pt idx="0">
                  <c:v>Girls</c:v>
                </c:pt>
              </c:strCache>
            </c:strRef>
          </c:tx>
          <c:invertIfNegative val="0"/>
          <c:cat>
            <c:strRef>
              <c:f>Figure19!$A$6:$A$16</c:f>
              <c:strCache>
                <c:ptCount val="11"/>
                <c:pt idx="0">
                  <c:v>Kyrgyzstan; 2014</c:v>
                </c:pt>
                <c:pt idx="1">
                  <c:v>Republic of Moldova; 2013</c:v>
                </c:pt>
                <c:pt idx="2">
                  <c:v>Montenegro; 2014</c:v>
                </c:pt>
                <c:pt idx="3">
                  <c:v>Georgia; 2014</c:v>
                </c:pt>
                <c:pt idx="4">
                  <c:v>Romania; 2013</c:v>
                </c:pt>
                <c:pt idx="5">
                  <c:v>Greece; 2013</c:v>
                </c:pt>
                <c:pt idx="6">
                  <c:v>Serbia; 2013</c:v>
                </c:pt>
                <c:pt idx="7">
                  <c:v>San Marino; 2014</c:v>
                </c:pt>
                <c:pt idx="8">
                  <c:v>Latvia; 2014</c:v>
                </c:pt>
                <c:pt idx="9">
                  <c:v>Lithuania; 2014</c:v>
                </c:pt>
                <c:pt idx="10">
                  <c:v>Italy; 2014</c:v>
                </c:pt>
              </c:strCache>
            </c:strRef>
          </c:cat>
          <c:val>
            <c:numRef>
              <c:f>Figure19!$B$6:$B$16</c:f>
              <c:numCache>
                <c:formatCode>0.0</c:formatCode>
                <c:ptCount val="11"/>
                <c:pt idx="0">
                  <c:v>2.0</c:v>
                </c:pt>
                <c:pt idx="1">
                  <c:v>3.8</c:v>
                </c:pt>
                <c:pt idx="2">
                  <c:v>4.2</c:v>
                </c:pt>
                <c:pt idx="3">
                  <c:v>5.7</c:v>
                </c:pt>
                <c:pt idx="4">
                  <c:v>10.1</c:v>
                </c:pt>
                <c:pt idx="5">
                  <c:v>12.9</c:v>
                </c:pt>
                <c:pt idx="6">
                  <c:v>14.6</c:v>
                </c:pt>
                <c:pt idx="7">
                  <c:v>15.0</c:v>
                </c:pt>
                <c:pt idx="8">
                  <c:v>22.7</c:v>
                </c:pt>
                <c:pt idx="9">
                  <c:v>24.1</c:v>
                </c:pt>
                <c:pt idx="10">
                  <c:v>26.3</c:v>
                </c:pt>
              </c:numCache>
            </c:numRef>
          </c:val>
        </c:ser>
        <c:dLbls>
          <c:showLegendKey val="0"/>
          <c:showVal val="0"/>
          <c:showCatName val="0"/>
          <c:showSerName val="0"/>
          <c:showPercent val="0"/>
          <c:showBubbleSize val="0"/>
        </c:dLbls>
        <c:gapWidth val="150"/>
        <c:axId val="2079387808"/>
        <c:axId val="2079384704"/>
      </c:barChart>
      <c:catAx>
        <c:axId val="2079387808"/>
        <c:scaling>
          <c:orientation val="minMax"/>
        </c:scaling>
        <c:delete val="0"/>
        <c:axPos val="b"/>
        <c:numFmt formatCode="General" sourceLinked="1"/>
        <c:majorTickMark val="out"/>
        <c:minorTickMark val="none"/>
        <c:tickLblPos val="nextTo"/>
        <c:txPr>
          <a:bodyPr/>
          <a:lstStyle/>
          <a:p>
            <a:pPr>
              <a:defRPr lang="en-GB"/>
            </a:pPr>
            <a:endParaRPr lang="en-US"/>
          </a:p>
        </c:txPr>
        <c:crossAx val="2079384704"/>
        <c:crosses val="autoZero"/>
        <c:auto val="1"/>
        <c:lblAlgn val="ctr"/>
        <c:lblOffset val="100"/>
        <c:noMultiLvlLbl val="0"/>
      </c:catAx>
      <c:valAx>
        <c:axId val="2079384704"/>
        <c:scaling>
          <c:orientation val="minMax"/>
        </c:scaling>
        <c:delete val="0"/>
        <c:axPos val="l"/>
        <c:majorGridlines/>
        <c:numFmt formatCode="0.0" sourceLinked="1"/>
        <c:majorTickMark val="out"/>
        <c:minorTickMark val="none"/>
        <c:tickLblPos val="nextTo"/>
        <c:txPr>
          <a:bodyPr/>
          <a:lstStyle/>
          <a:p>
            <a:pPr>
              <a:defRPr lang="en-GB"/>
            </a:pPr>
            <a:endParaRPr lang="en-US"/>
          </a:p>
        </c:txPr>
        <c:crossAx val="2079387808"/>
        <c:crosses val="autoZero"/>
        <c:crossBetween val="between"/>
      </c:valAx>
    </c:plotArea>
    <c:legend>
      <c:legendPos val="r"/>
      <c:overlay val="0"/>
      <c:txPr>
        <a:bodyPr/>
        <a:lstStyle/>
        <a:p>
          <a:pPr>
            <a:defRPr lang="en-GB"/>
          </a:pPr>
          <a:endParaRPr lang="en-US"/>
        </a:p>
      </c:txPr>
    </c:legend>
    <c:plotVisOnly val="1"/>
    <c:dispBlanksAs val="gap"/>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clustered"/>
        <c:varyColors val="0"/>
        <c:ser>
          <c:idx val="0"/>
          <c:order val="0"/>
          <c:invertIfNegative val="0"/>
          <c:cat>
            <c:strRef>
              <c:f>'Figure 20'!$A$6:$A$56</c:f>
              <c:strCache>
                <c:ptCount val="51"/>
                <c:pt idx="0">
                  <c:v>Albania</c:v>
                </c:pt>
                <c:pt idx="1">
                  <c:v>Andorra</c:v>
                </c:pt>
                <c:pt idx="2">
                  <c:v>Armenia</c:v>
                </c:pt>
                <c:pt idx="3">
                  <c:v>Austria</c:v>
                </c:pt>
                <c:pt idx="4">
                  <c:v>Azerbaijan</c:v>
                </c:pt>
                <c:pt idx="5">
                  <c:v>Belarus</c:v>
                </c:pt>
                <c:pt idx="6">
                  <c:v>Belgium</c:v>
                </c:pt>
                <c:pt idx="7">
                  <c:v>Bosnia and Herzegovina</c:v>
                </c:pt>
                <c:pt idx="8">
                  <c:v>Bulgaria</c:v>
                </c:pt>
                <c:pt idx="9">
                  <c:v>Croatia</c:v>
                </c:pt>
                <c:pt idx="10">
                  <c:v>Cyprus</c:v>
                </c:pt>
                <c:pt idx="11">
                  <c:v>Czech Republic</c:v>
                </c:pt>
                <c:pt idx="12">
                  <c:v>Denmark</c:v>
                </c:pt>
                <c:pt idx="13">
                  <c:v>Estonia</c:v>
                </c:pt>
                <c:pt idx="14">
                  <c:v>Finland</c:v>
                </c:pt>
                <c:pt idx="15">
                  <c:v>France</c:v>
                </c:pt>
                <c:pt idx="16">
                  <c:v>Georgia</c:v>
                </c:pt>
                <c:pt idx="17">
                  <c:v>Germany</c:v>
                </c:pt>
                <c:pt idx="18">
                  <c:v>Greece</c:v>
                </c:pt>
                <c:pt idx="19">
                  <c:v>Hungary</c:v>
                </c:pt>
                <c:pt idx="20">
                  <c:v>Iceland</c:v>
                </c:pt>
                <c:pt idx="21">
                  <c:v>Ireland</c:v>
                </c:pt>
                <c:pt idx="22">
                  <c:v>Israel</c:v>
                </c:pt>
                <c:pt idx="23">
                  <c:v>Italy</c:v>
                </c:pt>
                <c:pt idx="24">
                  <c:v>Kazakhstan</c:v>
                </c:pt>
                <c:pt idx="25">
                  <c:v>Latvia</c:v>
                </c:pt>
                <c:pt idx="26">
                  <c:v>Lithuania</c:v>
                </c:pt>
                <c:pt idx="27">
                  <c:v>Luxembourg</c:v>
                </c:pt>
                <c:pt idx="28">
                  <c:v>Malta</c:v>
                </c:pt>
                <c:pt idx="29">
                  <c:v>Montenegro</c:v>
                </c:pt>
                <c:pt idx="30">
                  <c:v>Netherlands</c:v>
                </c:pt>
                <c:pt idx="31">
                  <c:v>Norway</c:v>
                </c:pt>
                <c:pt idx="32">
                  <c:v>Poland</c:v>
                </c:pt>
                <c:pt idx="33">
                  <c:v>Portugal</c:v>
                </c:pt>
                <c:pt idx="34">
                  <c:v>Republic of Moldova</c:v>
                </c:pt>
                <c:pt idx="35">
                  <c:v>Romania</c:v>
                </c:pt>
                <c:pt idx="36">
                  <c:v>Russian Federation</c:v>
                </c:pt>
                <c:pt idx="37">
                  <c:v>San Marino</c:v>
                </c:pt>
                <c:pt idx="38">
                  <c:v>Serbia</c:v>
                </c:pt>
                <c:pt idx="39">
                  <c:v>Slovakia</c:v>
                </c:pt>
                <c:pt idx="40">
                  <c:v>Slovenia</c:v>
                </c:pt>
                <c:pt idx="41">
                  <c:v>Spain</c:v>
                </c:pt>
                <c:pt idx="42">
                  <c:v>Sweden</c:v>
                </c:pt>
                <c:pt idx="43">
                  <c:v>Switzerland</c:v>
                </c:pt>
                <c:pt idx="44">
                  <c:v>Tajikistan</c:v>
                </c:pt>
                <c:pt idx="45">
                  <c:v>TFYR Macedonia</c:v>
                </c:pt>
                <c:pt idx="46">
                  <c:v>Turkey</c:v>
                </c:pt>
                <c:pt idx="47">
                  <c:v>Turkmenistan</c:v>
                </c:pt>
                <c:pt idx="48">
                  <c:v>Ukraine</c:v>
                </c:pt>
                <c:pt idx="49">
                  <c:v>United Kingdom</c:v>
                </c:pt>
                <c:pt idx="50">
                  <c:v>Uzbekistan</c:v>
                </c:pt>
              </c:strCache>
            </c:strRef>
          </c:cat>
          <c:val>
            <c:numRef>
              <c:f>'Figure 20'!$B$6:$B$56</c:f>
              <c:numCache>
                <c:formatCode>_(* #,##0_);_(* \(#,##0\);_(* "-"??_);_(@_)</c:formatCode>
                <c:ptCount val="51"/>
                <c:pt idx="0">
                  <c:v>11.5</c:v>
                </c:pt>
                <c:pt idx="1">
                  <c:v>4.5</c:v>
                </c:pt>
                <c:pt idx="2">
                  <c:v>28.3</c:v>
                </c:pt>
                <c:pt idx="3">
                  <c:v>8.9</c:v>
                </c:pt>
                <c:pt idx="4">
                  <c:v>47.0</c:v>
                </c:pt>
                <c:pt idx="5">
                  <c:v>20.7</c:v>
                </c:pt>
                <c:pt idx="6">
                  <c:v>9.0</c:v>
                </c:pt>
                <c:pt idx="7">
                  <c:v>13.6</c:v>
                </c:pt>
                <c:pt idx="8">
                  <c:v>42.0</c:v>
                </c:pt>
                <c:pt idx="9">
                  <c:v>11.9</c:v>
                </c:pt>
                <c:pt idx="10">
                  <c:v>4.2</c:v>
                </c:pt>
                <c:pt idx="11">
                  <c:v>10.7</c:v>
                </c:pt>
                <c:pt idx="12">
                  <c:v>4.6</c:v>
                </c:pt>
                <c:pt idx="13">
                  <c:v>16.4</c:v>
                </c:pt>
                <c:pt idx="14">
                  <c:v>7.6</c:v>
                </c:pt>
                <c:pt idx="15">
                  <c:v>9.4</c:v>
                </c:pt>
                <c:pt idx="16">
                  <c:v>39.5</c:v>
                </c:pt>
                <c:pt idx="17">
                  <c:v>7.9</c:v>
                </c:pt>
                <c:pt idx="18">
                  <c:v>10.0</c:v>
                </c:pt>
                <c:pt idx="19">
                  <c:v>17.7</c:v>
                </c:pt>
                <c:pt idx="20">
                  <c:v>10.8</c:v>
                </c:pt>
                <c:pt idx="21">
                  <c:v>14.0</c:v>
                </c:pt>
                <c:pt idx="22">
                  <c:v>13.1</c:v>
                </c:pt>
                <c:pt idx="23">
                  <c:v>6.6</c:v>
                </c:pt>
                <c:pt idx="24">
                  <c:v>31.2</c:v>
                </c:pt>
                <c:pt idx="25">
                  <c:v>19.2</c:v>
                </c:pt>
                <c:pt idx="26">
                  <c:v>15.2</c:v>
                </c:pt>
                <c:pt idx="27">
                  <c:v>7.1</c:v>
                </c:pt>
                <c:pt idx="28">
                  <c:v>16.6</c:v>
                </c:pt>
                <c:pt idx="29">
                  <c:v>14.0</c:v>
                </c:pt>
                <c:pt idx="30">
                  <c:v>4.8</c:v>
                </c:pt>
                <c:pt idx="31">
                  <c:v>7.0</c:v>
                </c:pt>
                <c:pt idx="32">
                  <c:v>13.8</c:v>
                </c:pt>
                <c:pt idx="33">
                  <c:v>13.3</c:v>
                </c:pt>
                <c:pt idx="34">
                  <c:v>25.9</c:v>
                </c:pt>
                <c:pt idx="35">
                  <c:v>34.9</c:v>
                </c:pt>
                <c:pt idx="36">
                  <c:v>25.9</c:v>
                </c:pt>
                <c:pt idx="37">
                  <c:v>1.4</c:v>
                </c:pt>
                <c:pt idx="38">
                  <c:v>19.0</c:v>
                </c:pt>
                <c:pt idx="39">
                  <c:v>22.6</c:v>
                </c:pt>
                <c:pt idx="40">
                  <c:v>5.2</c:v>
                </c:pt>
                <c:pt idx="41">
                  <c:v>9.6</c:v>
                </c:pt>
                <c:pt idx="42">
                  <c:v>5.6</c:v>
                </c:pt>
                <c:pt idx="43">
                  <c:v>3.3</c:v>
                </c:pt>
                <c:pt idx="44">
                  <c:v>47.0</c:v>
                </c:pt>
                <c:pt idx="45">
                  <c:v>60.0</c:v>
                </c:pt>
                <c:pt idx="46">
                  <c:v>31.5</c:v>
                </c:pt>
                <c:pt idx="47">
                  <c:v>21.0</c:v>
                </c:pt>
                <c:pt idx="48">
                  <c:v>27.9</c:v>
                </c:pt>
                <c:pt idx="49">
                  <c:v>22.0</c:v>
                </c:pt>
                <c:pt idx="50">
                  <c:v>25.5</c:v>
                </c:pt>
              </c:numCache>
            </c:numRef>
          </c:val>
        </c:ser>
        <c:dLbls>
          <c:showLegendKey val="0"/>
          <c:showVal val="0"/>
          <c:showCatName val="0"/>
          <c:showSerName val="0"/>
          <c:showPercent val="0"/>
          <c:showBubbleSize val="0"/>
        </c:dLbls>
        <c:gapWidth val="150"/>
        <c:axId val="2088943024"/>
        <c:axId val="2088946288"/>
      </c:barChart>
      <c:catAx>
        <c:axId val="2088943024"/>
        <c:scaling>
          <c:orientation val="minMax"/>
        </c:scaling>
        <c:delete val="0"/>
        <c:axPos val="l"/>
        <c:numFmt formatCode="General" sourceLinked="1"/>
        <c:majorTickMark val="out"/>
        <c:minorTickMark val="none"/>
        <c:tickLblPos val="nextTo"/>
        <c:txPr>
          <a:bodyPr/>
          <a:lstStyle/>
          <a:p>
            <a:pPr>
              <a:defRPr lang="da-DK"/>
            </a:pPr>
            <a:endParaRPr lang="en-US"/>
          </a:p>
        </c:txPr>
        <c:crossAx val="2088946288"/>
        <c:crosses val="autoZero"/>
        <c:auto val="1"/>
        <c:lblAlgn val="ctr"/>
        <c:lblOffset val="100"/>
        <c:noMultiLvlLbl val="0"/>
      </c:catAx>
      <c:valAx>
        <c:axId val="2088946288"/>
        <c:scaling>
          <c:orientation val="minMax"/>
        </c:scaling>
        <c:delete val="0"/>
        <c:axPos val="b"/>
        <c:majorGridlines/>
        <c:numFmt formatCode="_(* #,##0_);_(* \(#,##0\);_(* &quot;-&quot;??_);_(@_)" sourceLinked="1"/>
        <c:majorTickMark val="out"/>
        <c:minorTickMark val="none"/>
        <c:tickLblPos val="nextTo"/>
        <c:txPr>
          <a:bodyPr/>
          <a:lstStyle/>
          <a:p>
            <a:pPr>
              <a:defRPr lang="da-DK"/>
            </a:pPr>
            <a:endParaRPr lang="en-US"/>
          </a:p>
        </c:txPr>
        <c:crossAx val="2088943024"/>
        <c:crosses val="autoZero"/>
        <c:crossBetween val="between"/>
      </c:valAx>
    </c:plotArea>
    <c:plotVisOnly val="1"/>
    <c:dispBlanksAs val="gap"/>
    <c:showDLblsOverMax val="0"/>
  </c:chart>
  <c:printSettings>
    <c:headerFooter/>
    <c:pageMargins b="1.0" l="0.75" r="0.75" t="1.0"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0690221162345655"/>
          <c:y val="0.0870677258057975"/>
          <c:w val="0.769100153722086"/>
          <c:h val="0.844857670936828"/>
        </c:manualLayout>
      </c:layout>
      <c:scatterChart>
        <c:scatterStyle val="lineMarker"/>
        <c:varyColors val="0"/>
        <c:ser>
          <c:idx val="0"/>
          <c:order val="0"/>
          <c:tx>
            <c:v>European Region countries</c:v>
          </c:tx>
          <c:spPr>
            <a:ln w="28575">
              <a:noFill/>
            </a:ln>
          </c:spPr>
          <c:dLbls>
            <c:dLbl>
              <c:idx val="0"/>
              <c:tx>
                <c:rich>
                  <a:bodyPr/>
                  <a:lstStyle/>
                  <a:p>
                    <a:r>
                      <a:rPr lang="en-US"/>
                      <a:t>Turkey</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Bosnia and Herzegovina</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Macedonia</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Portugal</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Austria</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Albania</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Serbia</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KGZ</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Spain</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Malta</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   MDA</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Italy</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Greece</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Montenegro</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Tajikistan</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Kazakhstan</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Finland</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Romania</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Belgium</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Azerbaijan</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Croatia</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Bulgaria</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Cyprus</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Iceland</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Armenia</a:t>
                    </a:r>
                  </a:p>
                </c:rich>
              </c:tx>
              <c:showLegendKey val="0"/>
              <c:showVal val="1"/>
              <c:showCatName val="0"/>
              <c:showSerName val="0"/>
              <c:showPercent val="0"/>
              <c:showBubbleSize val="0"/>
              <c:extLst>
                <c:ext xmlns:c15="http://schemas.microsoft.com/office/drawing/2012/chart" uri="{CE6537A1-D6FC-4f65-9D91-7224C49458BB}"/>
              </c:extLst>
            </c:dLbl>
            <c:dLbl>
              <c:idx val="25"/>
              <c:layout>
                <c:manualLayout>
                  <c:x val="0.0"/>
                  <c:y val="-0.00735835172921266"/>
                </c:manualLayout>
              </c:layout>
              <c:tx>
                <c:rich>
                  <a:bodyPr/>
                  <a:lstStyle/>
                  <a:p>
                    <a:r>
                      <a:rPr lang="en-US"/>
                      <a:t>France</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Luxembourg</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Hungary</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Ukraine</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Belarus</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Switzerland</a:t>
                    </a:r>
                  </a:p>
                </c:rich>
              </c:tx>
              <c:showLegendKey val="0"/>
              <c:showVal val="1"/>
              <c:showCatName val="0"/>
              <c:showSerName val="0"/>
              <c:showPercent val="0"/>
              <c:showBubbleSize val="0"/>
              <c:extLst>
                <c:ext xmlns:c15="http://schemas.microsoft.com/office/drawing/2012/chart" uri="{CE6537A1-D6FC-4f65-9D91-7224C49458BB}"/>
              </c:extLst>
            </c:dLbl>
            <c:dLbl>
              <c:idx val="31"/>
              <c:tx>
                <c:rich>
                  <a:bodyPr/>
                  <a:lstStyle/>
                  <a:p>
                    <a:r>
                      <a:rPr lang="en-US"/>
                      <a:t>Latvia</a:t>
                    </a:r>
                  </a:p>
                </c:rich>
              </c:tx>
              <c:showLegendKey val="0"/>
              <c:showVal val="1"/>
              <c:showCatName val="0"/>
              <c:showSerName val="0"/>
              <c:showPercent val="0"/>
              <c:showBubbleSize val="0"/>
              <c:extLst>
                <c:ext xmlns:c15="http://schemas.microsoft.com/office/drawing/2012/chart" uri="{CE6537A1-D6FC-4f65-9D91-7224C49458BB}"/>
              </c:extLst>
            </c:dLbl>
            <c:dLbl>
              <c:idx val="32"/>
              <c:tx>
                <c:rich>
                  <a:bodyPr/>
                  <a:lstStyle/>
                  <a:p>
                    <a:r>
                      <a:rPr lang="en-US"/>
                      <a:t>Slovakia</a:t>
                    </a:r>
                  </a:p>
                </c:rich>
              </c:tx>
              <c:showLegendKey val="0"/>
              <c:showVal val="1"/>
              <c:showCatName val="0"/>
              <c:showSerName val="0"/>
              <c:showPercent val="0"/>
              <c:showBubbleSize val="0"/>
              <c:extLst>
                <c:ext xmlns:c15="http://schemas.microsoft.com/office/drawing/2012/chart" uri="{CE6537A1-D6FC-4f65-9D91-7224C49458BB}"/>
              </c:extLst>
            </c:dLbl>
            <c:dLbl>
              <c:idx val="33"/>
              <c:tx>
                <c:rich>
                  <a:bodyPr/>
                  <a:lstStyle/>
                  <a:p>
                    <a:r>
                      <a:rPr lang="en-US"/>
                      <a:t>Netherlands</a:t>
                    </a:r>
                  </a:p>
                </c:rich>
              </c:tx>
              <c:showLegendKey val="0"/>
              <c:showVal val="1"/>
              <c:showCatName val="0"/>
              <c:showSerName val="0"/>
              <c:showPercent val="0"/>
              <c:showBubbleSize val="0"/>
              <c:extLst>
                <c:ext xmlns:c15="http://schemas.microsoft.com/office/drawing/2012/chart" uri="{CE6537A1-D6FC-4f65-9D91-7224C49458BB}"/>
              </c:extLst>
            </c:dLbl>
            <c:dLbl>
              <c:idx val="34"/>
              <c:layout>
                <c:manualLayout>
                  <c:x val="0.0102535214906429"/>
                  <c:y val="0.0"/>
                </c:manualLayout>
              </c:layout>
              <c:tx>
                <c:rich>
                  <a:bodyPr/>
                  <a:lstStyle/>
                  <a:p>
                    <a:r>
                      <a:rPr lang="en-US"/>
                      <a:t>Russia </a:t>
                    </a:r>
                  </a:p>
                </c:rich>
              </c:tx>
              <c:showLegendKey val="0"/>
              <c:showVal val="1"/>
              <c:showCatName val="0"/>
              <c:showSerName val="0"/>
              <c:showPercent val="0"/>
              <c:showBubbleSize val="0"/>
              <c:extLst>
                <c:ext xmlns:c15="http://schemas.microsoft.com/office/drawing/2012/chart" uri="{CE6537A1-D6FC-4f65-9D91-7224C49458BB}"/>
              </c:extLst>
            </c:dLbl>
            <c:dLbl>
              <c:idx val="35"/>
              <c:layout>
                <c:manualLayout>
                  <c:x val="0.013183099059398"/>
                  <c:y val="0.0"/>
                </c:manualLayout>
              </c:layout>
              <c:tx>
                <c:rich>
                  <a:bodyPr/>
                  <a:lstStyle/>
                  <a:p>
                    <a:r>
                      <a:rPr lang="en-US"/>
                      <a:t>Ireland</a:t>
                    </a:r>
                  </a:p>
                </c:rich>
              </c:tx>
              <c:showLegendKey val="0"/>
              <c:showVal val="1"/>
              <c:showCatName val="0"/>
              <c:showSerName val="0"/>
              <c:showPercent val="0"/>
              <c:showBubbleSize val="0"/>
              <c:extLst>
                <c:ext xmlns:c15="http://schemas.microsoft.com/office/drawing/2012/chart" uri="{CE6537A1-D6FC-4f65-9D91-7224C49458BB}"/>
              </c:extLst>
            </c:dLbl>
            <c:dLbl>
              <c:idx val="36"/>
              <c:layout>
                <c:manualLayout>
                  <c:x val="0.0"/>
                  <c:y val="-0.00294334069168506"/>
                </c:manualLayout>
              </c:layout>
              <c:tx>
                <c:rich>
                  <a:bodyPr/>
                  <a:lstStyle/>
                  <a:p>
                    <a:r>
                      <a:rPr lang="en-US"/>
                      <a:t>Sweden</a:t>
                    </a:r>
                  </a:p>
                </c:rich>
              </c:tx>
              <c:showLegendKey val="0"/>
              <c:showVal val="1"/>
              <c:showCatName val="0"/>
              <c:showSerName val="0"/>
              <c:showPercent val="0"/>
              <c:showBubbleSize val="0"/>
              <c:extLst>
                <c:ext xmlns:c15="http://schemas.microsoft.com/office/drawing/2012/chart" uri="{CE6537A1-D6FC-4f65-9D91-7224C49458BB}"/>
              </c:extLst>
            </c:dLbl>
            <c:dLbl>
              <c:idx val="37"/>
              <c:tx>
                <c:rich>
                  <a:bodyPr/>
                  <a:lstStyle/>
                  <a:p>
                    <a:r>
                      <a:rPr lang="en-US"/>
                      <a:t>Slovenia</a:t>
                    </a:r>
                  </a:p>
                </c:rich>
              </c:tx>
              <c:showLegendKey val="0"/>
              <c:showVal val="1"/>
              <c:showCatName val="0"/>
              <c:showSerName val="0"/>
              <c:showPercent val="0"/>
              <c:showBubbleSize val="0"/>
              <c:extLst>
                <c:ext xmlns:c15="http://schemas.microsoft.com/office/drawing/2012/chart" uri="{CE6537A1-D6FC-4f65-9D91-7224C49458BB}"/>
              </c:extLst>
            </c:dLbl>
            <c:dLbl>
              <c:idx val="38"/>
              <c:layout>
                <c:manualLayout>
                  <c:x val="0.0"/>
                  <c:y val="-0.00441501103752759"/>
                </c:manualLayout>
              </c:layout>
              <c:tx>
                <c:rich>
                  <a:bodyPr/>
                  <a:lstStyle/>
                  <a:p>
                    <a:r>
                      <a:rPr lang="en-US"/>
                      <a:t>Denmark</a:t>
                    </a:r>
                  </a:p>
                </c:rich>
              </c:tx>
              <c:showLegendKey val="0"/>
              <c:showVal val="1"/>
              <c:showCatName val="0"/>
              <c:showSerName val="0"/>
              <c:showPercent val="0"/>
              <c:showBubbleSize val="0"/>
              <c:extLst>
                <c:ext xmlns:c15="http://schemas.microsoft.com/office/drawing/2012/chart" uri="{CE6537A1-D6FC-4f65-9D91-7224C49458BB}"/>
              </c:extLst>
            </c:dLbl>
            <c:dLbl>
              <c:idx val="39"/>
              <c:tx>
                <c:rich>
                  <a:bodyPr/>
                  <a:lstStyle/>
                  <a:p>
                    <a:r>
                      <a:rPr lang="en-US"/>
                      <a:t>Poland</a:t>
                    </a:r>
                  </a:p>
                </c:rich>
              </c:tx>
              <c:showLegendKey val="0"/>
              <c:showVal val="1"/>
              <c:showCatName val="0"/>
              <c:showSerName val="0"/>
              <c:showPercent val="0"/>
              <c:showBubbleSize val="0"/>
              <c:extLst>
                <c:ext xmlns:c15="http://schemas.microsoft.com/office/drawing/2012/chart" uri="{CE6537A1-D6FC-4f65-9D91-7224C49458BB}"/>
              </c:extLst>
            </c:dLbl>
            <c:dLbl>
              <c:idx val="40"/>
              <c:tx>
                <c:rich>
                  <a:bodyPr/>
                  <a:lstStyle/>
                  <a:p>
                    <a:r>
                      <a:rPr lang="en-US"/>
                      <a:t>Czech Republic</a:t>
                    </a:r>
                  </a:p>
                </c:rich>
              </c:tx>
              <c:showLegendKey val="0"/>
              <c:showVal val="1"/>
              <c:showCatName val="0"/>
              <c:showSerName val="0"/>
              <c:showPercent val="0"/>
              <c:showBubbleSize val="0"/>
              <c:extLst>
                <c:ext xmlns:c15="http://schemas.microsoft.com/office/drawing/2012/chart" uri="{CE6537A1-D6FC-4f65-9D91-7224C49458BB}"/>
              </c:extLst>
            </c:dLbl>
            <c:dLbl>
              <c:idx val="41"/>
              <c:tx>
                <c:rich>
                  <a:bodyPr/>
                  <a:lstStyle/>
                  <a:p>
                    <a:r>
                      <a:rPr lang="en-US"/>
                      <a:t>Estonia</a:t>
                    </a:r>
                  </a:p>
                </c:rich>
              </c:tx>
              <c:showLegendKey val="0"/>
              <c:showVal val="1"/>
              <c:showCatName val="0"/>
              <c:showSerName val="0"/>
              <c:showPercent val="0"/>
              <c:showBubbleSize val="0"/>
              <c:extLst>
                <c:ext xmlns:c15="http://schemas.microsoft.com/office/drawing/2012/chart" uri="{CE6537A1-D6FC-4f65-9D91-7224C49458BB}"/>
              </c:extLst>
            </c:dLbl>
            <c:dLbl>
              <c:idx val="42"/>
              <c:tx>
                <c:rich>
                  <a:bodyPr/>
                  <a:lstStyle/>
                  <a:p>
                    <a:r>
                      <a:rPr lang="en-US"/>
                      <a:t>Lithuania</a:t>
                    </a:r>
                  </a:p>
                </c:rich>
              </c:tx>
              <c:showLegendKey val="0"/>
              <c:showVal val="1"/>
              <c:showCatName val="0"/>
              <c:showSerName val="0"/>
              <c:showPercent val="0"/>
              <c:showBubbleSize val="0"/>
              <c:extLst>
                <c:ext xmlns:c15="http://schemas.microsoft.com/office/drawing/2012/chart" uri="{CE6537A1-D6FC-4f65-9D91-7224C49458BB}"/>
              </c:extLst>
            </c:dLbl>
            <c:dLbl>
              <c:idx val="43"/>
              <c:tx>
                <c:rich>
                  <a:bodyPr/>
                  <a:lstStyle/>
                  <a:p>
                    <a:r>
                      <a:rPr lang="en-US"/>
                      <a:t>Germany</a:t>
                    </a:r>
                  </a:p>
                </c:rich>
              </c:tx>
              <c:showLegendKey val="0"/>
              <c:showVal val="1"/>
              <c:showCatName val="0"/>
              <c:showSerName val="0"/>
              <c:showPercent val="0"/>
              <c:showBubbleSize val="0"/>
              <c:extLst>
                <c:ext xmlns:c15="http://schemas.microsoft.com/office/drawing/2012/chart" uri="{CE6537A1-D6FC-4f65-9D91-7224C49458BB}"/>
              </c:extLst>
            </c:dLbl>
            <c:dLbl>
              <c:idx val="44"/>
              <c:layout>
                <c:manualLayout>
                  <c:x val="0.0"/>
                  <c:y val="-0.00883002207505519"/>
                </c:manualLayout>
              </c:layout>
              <c:tx>
                <c:rich>
                  <a:bodyPr/>
                  <a:lstStyle/>
                  <a:p>
                    <a:r>
                      <a:rPr lang="en-US"/>
                      <a:t>Israel</a:t>
                    </a:r>
                  </a:p>
                </c:rich>
              </c:tx>
              <c:showLegendKey val="0"/>
              <c:showVal val="1"/>
              <c:showCatName val="0"/>
              <c:showSerName val="0"/>
              <c:showPercent val="0"/>
              <c:showBubbleSize val="0"/>
              <c:extLst>
                <c:ext xmlns:c15="http://schemas.microsoft.com/office/drawing/2012/chart" uri="{CE6537A1-D6FC-4f65-9D91-7224C49458BB}"/>
              </c:extLst>
            </c:dLbl>
            <c:dLbl>
              <c:idx val="45"/>
              <c:tx>
                <c:rich>
                  <a:bodyPr/>
                  <a:lstStyle/>
                  <a:p>
                    <a:r>
                      <a:rPr lang="en-US"/>
                      <a:t>Norway</a:t>
                    </a:r>
                  </a:p>
                </c:rich>
              </c:tx>
              <c:showLegendKey val="0"/>
              <c:showVal val="1"/>
              <c:showCatName val="0"/>
              <c:showSerName val="0"/>
              <c:showPercent val="0"/>
              <c:showBubbleSize val="0"/>
              <c:extLst>
                <c:ext xmlns:c15="http://schemas.microsoft.com/office/drawing/2012/chart" uri="{CE6537A1-D6FC-4f65-9D91-7224C49458BB}"/>
              </c:extLst>
            </c:dLbl>
            <c:dLbl>
              <c:idx val="46"/>
              <c:tx>
                <c:rich>
                  <a:bodyPr/>
                  <a:lstStyle/>
                  <a:p>
                    <a:r>
                      <a:rPr lang="en-US"/>
                      <a:t>United Kingdom</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Figure21!$B$2:$B$48</c:f>
              <c:numCache>
                <c:formatCode>#,###,##0.0</c:formatCode>
                <c:ptCount val="47"/>
                <c:pt idx="0">
                  <c:v>6.380445371</c:v>
                </c:pt>
                <c:pt idx="1">
                  <c:v>7.240337461</c:v>
                </c:pt>
                <c:pt idx="2">
                  <c:v>7.876327662</c:v>
                </c:pt>
                <c:pt idx="3">
                  <c:v>7.999779182</c:v>
                </c:pt>
                <c:pt idx="4">
                  <c:v>8.88</c:v>
                </c:pt>
                <c:pt idx="5">
                  <c:v>9.050693163</c:v>
                </c:pt>
                <c:pt idx="6">
                  <c:v>9.2</c:v>
                </c:pt>
                <c:pt idx="7">
                  <c:v>9.27</c:v>
                </c:pt>
                <c:pt idx="8">
                  <c:v>9.470814581</c:v>
                </c:pt>
                <c:pt idx="9">
                  <c:v>9.502172969</c:v>
                </c:pt>
                <c:pt idx="10">
                  <c:v>9.59</c:v>
                </c:pt>
                <c:pt idx="11">
                  <c:v>9.667352877</c:v>
                </c:pt>
                <c:pt idx="12">
                  <c:v>9.917759941</c:v>
                </c:pt>
                <c:pt idx="13">
                  <c:v>9.945669298</c:v>
                </c:pt>
                <c:pt idx="14">
                  <c:v>9.98</c:v>
                </c:pt>
                <c:pt idx="15">
                  <c:v>10.24</c:v>
                </c:pt>
                <c:pt idx="16">
                  <c:v>10.33</c:v>
                </c:pt>
                <c:pt idx="17">
                  <c:v>10.40991463</c:v>
                </c:pt>
                <c:pt idx="18">
                  <c:v>10.47</c:v>
                </c:pt>
                <c:pt idx="19">
                  <c:v>10.49719429</c:v>
                </c:pt>
                <c:pt idx="20">
                  <c:v>10.49928369</c:v>
                </c:pt>
                <c:pt idx="21">
                  <c:v>10.58680813</c:v>
                </c:pt>
                <c:pt idx="22">
                  <c:v>10.74932793</c:v>
                </c:pt>
                <c:pt idx="23">
                  <c:v>10.76</c:v>
                </c:pt>
                <c:pt idx="24">
                  <c:v>10.8</c:v>
                </c:pt>
                <c:pt idx="25">
                  <c:v>10.89831762</c:v>
                </c:pt>
                <c:pt idx="26">
                  <c:v>10.92225771</c:v>
                </c:pt>
                <c:pt idx="27">
                  <c:v>11.20684022</c:v>
                </c:pt>
                <c:pt idx="28">
                  <c:v>11.22</c:v>
                </c:pt>
                <c:pt idx="29">
                  <c:v>11.40616641</c:v>
                </c:pt>
                <c:pt idx="30">
                  <c:v>11.45278341</c:v>
                </c:pt>
                <c:pt idx="31">
                  <c:v>11.46793119</c:v>
                </c:pt>
                <c:pt idx="32">
                  <c:v>11.59</c:v>
                </c:pt>
                <c:pt idx="33">
                  <c:v>11.61255932</c:v>
                </c:pt>
                <c:pt idx="34">
                  <c:v>11.68</c:v>
                </c:pt>
                <c:pt idx="35">
                  <c:v>11.7</c:v>
                </c:pt>
                <c:pt idx="36">
                  <c:v>11.79</c:v>
                </c:pt>
                <c:pt idx="37">
                  <c:v>11.83151274</c:v>
                </c:pt>
                <c:pt idx="38">
                  <c:v>11.87756564</c:v>
                </c:pt>
                <c:pt idx="39">
                  <c:v>11.94316878</c:v>
                </c:pt>
                <c:pt idx="40">
                  <c:v>12.14</c:v>
                </c:pt>
                <c:pt idx="41">
                  <c:v>12.28</c:v>
                </c:pt>
                <c:pt idx="42">
                  <c:v>12.34904806</c:v>
                </c:pt>
                <c:pt idx="43">
                  <c:v>12.58727973</c:v>
                </c:pt>
                <c:pt idx="44">
                  <c:v>12.6288942</c:v>
                </c:pt>
                <c:pt idx="45">
                  <c:v>12.68</c:v>
                </c:pt>
                <c:pt idx="46">
                  <c:v>12.82006784</c:v>
                </c:pt>
              </c:numCache>
            </c:numRef>
          </c:xVal>
          <c:yVal>
            <c:numRef>
              <c:f>Figure21!$C$2:$C$48</c:f>
              <c:numCache>
                <c:formatCode>General</c:formatCode>
                <c:ptCount val="47"/>
                <c:pt idx="0">
                  <c:v>30.923</c:v>
                </c:pt>
                <c:pt idx="1">
                  <c:v>15.108</c:v>
                </c:pt>
                <c:pt idx="2">
                  <c:v>18.256</c:v>
                </c:pt>
                <c:pt idx="3">
                  <c:v>12.573</c:v>
                </c:pt>
                <c:pt idx="4">
                  <c:v>4.126</c:v>
                </c:pt>
                <c:pt idx="5">
                  <c:v>15.297</c:v>
                </c:pt>
                <c:pt idx="6">
                  <c:v>16.872</c:v>
                </c:pt>
                <c:pt idx="7">
                  <c:v>29.264</c:v>
                </c:pt>
                <c:pt idx="8">
                  <c:v>10.624</c:v>
                </c:pt>
                <c:pt idx="9">
                  <c:v>18.193</c:v>
                </c:pt>
                <c:pt idx="10">
                  <c:v>29.268</c:v>
                </c:pt>
                <c:pt idx="11">
                  <c:v>3.957</c:v>
                </c:pt>
                <c:pt idx="12">
                  <c:v>11.859</c:v>
                </c:pt>
                <c:pt idx="13">
                  <c:v>15.2</c:v>
                </c:pt>
                <c:pt idx="14">
                  <c:v>42.812</c:v>
                </c:pt>
                <c:pt idx="15">
                  <c:v>29.946</c:v>
                </c:pt>
                <c:pt idx="16">
                  <c:v>9.211</c:v>
                </c:pt>
                <c:pt idx="17">
                  <c:v>30.955</c:v>
                </c:pt>
                <c:pt idx="18">
                  <c:v>6.709</c:v>
                </c:pt>
                <c:pt idx="19">
                  <c:v>40.0</c:v>
                </c:pt>
                <c:pt idx="20">
                  <c:v>12.736</c:v>
                </c:pt>
                <c:pt idx="21">
                  <c:v>35.857</c:v>
                </c:pt>
                <c:pt idx="22">
                  <c:v>5.473</c:v>
                </c:pt>
                <c:pt idx="23">
                  <c:v>11.488</c:v>
                </c:pt>
                <c:pt idx="24">
                  <c:v>27.118</c:v>
                </c:pt>
                <c:pt idx="25">
                  <c:v>5.736</c:v>
                </c:pt>
                <c:pt idx="26">
                  <c:v>8.349</c:v>
                </c:pt>
                <c:pt idx="27">
                  <c:v>12.127</c:v>
                </c:pt>
                <c:pt idx="28">
                  <c:v>25.671</c:v>
                </c:pt>
                <c:pt idx="29">
                  <c:v>20.599</c:v>
                </c:pt>
                <c:pt idx="30">
                  <c:v>1.9</c:v>
                </c:pt>
                <c:pt idx="31">
                  <c:v>13.522</c:v>
                </c:pt>
                <c:pt idx="32">
                  <c:v>15.872</c:v>
                </c:pt>
                <c:pt idx="33">
                  <c:v>6.165</c:v>
                </c:pt>
                <c:pt idx="34">
                  <c:v>25.727</c:v>
                </c:pt>
                <c:pt idx="35">
                  <c:v>8.236000000000001</c:v>
                </c:pt>
                <c:pt idx="36">
                  <c:v>6.528</c:v>
                </c:pt>
                <c:pt idx="37">
                  <c:v>0.617</c:v>
                </c:pt>
                <c:pt idx="38">
                  <c:v>5.101</c:v>
                </c:pt>
                <c:pt idx="39">
                  <c:v>12.156</c:v>
                </c:pt>
                <c:pt idx="40">
                  <c:v>4.906</c:v>
                </c:pt>
                <c:pt idx="41">
                  <c:v>16.779</c:v>
                </c:pt>
                <c:pt idx="42">
                  <c:v>10.612</c:v>
                </c:pt>
                <c:pt idx="43">
                  <c:v>3.795</c:v>
                </c:pt>
                <c:pt idx="44">
                  <c:v>7.819</c:v>
                </c:pt>
                <c:pt idx="45">
                  <c:v>7.834</c:v>
                </c:pt>
                <c:pt idx="46">
                  <c:v>25.758</c:v>
                </c:pt>
              </c:numCache>
            </c:numRef>
          </c:yVal>
          <c:smooth val="0"/>
        </c:ser>
        <c:dLbls>
          <c:showLegendKey val="0"/>
          <c:showVal val="0"/>
          <c:showCatName val="0"/>
          <c:showSerName val="0"/>
          <c:showPercent val="0"/>
          <c:showBubbleSize val="0"/>
        </c:dLbls>
        <c:axId val="2089970656"/>
        <c:axId val="2089034816"/>
      </c:scatterChart>
      <c:valAx>
        <c:axId val="2089970656"/>
        <c:scaling>
          <c:orientation val="minMax"/>
          <c:min val="5.0"/>
        </c:scaling>
        <c:delete val="0"/>
        <c:axPos val="b"/>
        <c:title>
          <c:tx>
            <c:rich>
              <a:bodyPr/>
              <a:lstStyle/>
              <a:p>
                <a:pPr>
                  <a:defRPr lang="da-DK"/>
                </a:pPr>
                <a:r>
                  <a:rPr lang="en-US"/>
                  <a:t>Mean years of schooling female (2002-2012)</a:t>
                </a:r>
              </a:p>
            </c:rich>
          </c:tx>
          <c:overlay val="0"/>
        </c:title>
        <c:numFmt formatCode="#,###,##0.0" sourceLinked="1"/>
        <c:majorTickMark val="out"/>
        <c:minorTickMark val="none"/>
        <c:tickLblPos val="nextTo"/>
        <c:txPr>
          <a:bodyPr/>
          <a:lstStyle/>
          <a:p>
            <a:pPr>
              <a:defRPr lang="da-DK"/>
            </a:pPr>
            <a:endParaRPr lang="en-US"/>
          </a:p>
        </c:txPr>
        <c:crossAx val="2089034816"/>
        <c:crosses val="autoZero"/>
        <c:crossBetween val="midCat"/>
      </c:valAx>
      <c:valAx>
        <c:axId val="2089034816"/>
        <c:scaling>
          <c:orientation val="minMax"/>
        </c:scaling>
        <c:delete val="0"/>
        <c:axPos val="l"/>
        <c:title>
          <c:tx>
            <c:rich>
              <a:bodyPr rot="-5400000" vert="horz"/>
              <a:lstStyle/>
              <a:p>
                <a:pPr>
                  <a:defRPr lang="da-DK"/>
                </a:pPr>
                <a:r>
                  <a:rPr lang="en-US"/>
                  <a:t>Adolescent birth rate (births per 1,000 women aged 15-19), 2010/2015 </a:t>
                </a:r>
              </a:p>
            </c:rich>
          </c:tx>
          <c:overlay val="0"/>
        </c:title>
        <c:numFmt formatCode="General" sourceLinked="1"/>
        <c:majorTickMark val="out"/>
        <c:minorTickMark val="none"/>
        <c:tickLblPos val="nextTo"/>
        <c:txPr>
          <a:bodyPr/>
          <a:lstStyle/>
          <a:p>
            <a:pPr>
              <a:defRPr lang="da-DK"/>
            </a:pPr>
            <a:endParaRPr lang="en-US"/>
          </a:p>
        </c:txPr>
        <c:crossAx val="2089970656"/>
        <c:crosses val="autoZero"/>
        <c:crossBetween val="midCat"/>
      </c:valAx>
    </c:plotArea>
    <c:plotVisOnly val="1"/>
    <c:dispBlanksAs val="gap"/>
    <c:showDLblsOverMax val="0"/>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Males</c:v>
          </c:tx>
          <c:invertIfNegative val="0"/>
          <c:cat>
            <c:strRef>
              <c:f>Figure22!$A$4:$A$18</c:f>
              <c:strCache>
                <c:ptCount val="15"/>
                <c:pt idx="0">
                  <c:v>Albania</c:v>
                </c:pt>
                <c:pt idx="1">
                  <c:v>Armenia</c:v>
                </c:pt>
                <c:pt idx="2">
                  <c:v>Azerbaijan</c:v>
                </c:pt>
                <c:pt idx="3">
                  <c:v>Belarus</c:v>
                </c:pt>
                <c:pt idx="4">
                  <c:v>Bosnia and Herzegovina</c:v>
                </c:pt>
                <c:pt idx="5">
                  <c:v>Georgia</c:v>
                </c:pt>
                <c:pt idx="6">
                  <c:v>Kazakhstan</c:v>
                </c:pt>
                <c:pt idx="7">
                  <c:v>Montenegro</c:v>
                </c:pt>
                <c:pt idx="8">
                  <c:v>Republic of Moldova</c:v>
                </c:pt>
                <c:pt idx="9">
                  <c:v>Serbia</c:v>
                </c:pt>
                <c:pt idx="10">
                  <c:v>Tajikistan</c:v>
                </c:pt>
                <c:pt idx="11">
                  <c:v>MKDb</c:v>
                </c:pt>
                <c:pt idx="12">
                  <c:v>Turkey</c:v>
                </c:pt>
                <c:pt idx="13">
                  <c:v>Ukraine</c:v>
                </c:pt>
                <c:pt idx="14">
                  <c:v>Uzbekistan</c:v>
                </c:pt>
              </c:strCache>
            </c:strRef>
          </c:cat>
          <c:val>
            <c:numRef>
              <c:f>Figure22!$C$4:$C$18</c:f>
              <c:numCache>
                <c:formatCode>_(* #,##0_);_(* \(#,##0\);_(* "-"??_);_(@_)</c:formatCode>
                <c:ptCount val="15"/>
                <c:pt idx="0">
                  <c:v>36.6</c:v>
                </c:pt>
                <c:pt idx="1">
                  <c:v>21.3</c:v>
                </c:pt>
                <c:pt idx="2">
                  <c:v>63.1</c:v>
                </c:pt>
                <c:pt idx="3">
                  <c:v>2.6</c:v>
                </c:pt>
                <c:pt idx="4">
                  <c:v>5.0</c:v>
                </c:pt>
                <c:pt idx="5">
                  <c:v>0.0</c:v>
                </c:pt>
                <c:pt idx="6">
                  <c:v>13.5</c:v>
                </c:pt>
                <c:pt idx="7">
                  <c:v>0.0</c:v>
                </c:pt>
                <c:pt idx="8">
                  <c:v>14.2</c:v>
                </c:pt>
                <c:pt idx="9">
                  <c:v>5.6</c:v>
                </c:pt>
                <c:pt idx="10">
                  <c:v>0.0</c:v>
                </c:pt>
                <c:pt idx="11">
                  <c:v>0.0</c:v>
                </c:pt>
                <c:pt idx="12">
                  <c:v>0.0</c:v>
                </c:pt>
                <c:pt idx="13">
                  <c:v>1.6</c:v>
                </c:pt>
                <c:pt idx="14">
                  <c:v>62.8</c:v>
                </c:pt>
              </c:numCache>
            </c:numRef>
          </c:val>
        </c:ser>
        <c:ser>
          <c:idx val="1"/>
          <c:order val="1"/>
          <c:tx>
            <c:v>Females</c:v>
          </c:tx>
          <c:invertIfNegative val="0"/>
          <c:val>
            <c:numRef>
              <c:f>Figure22!$E$4:$E$18</c:f>
              <c:numCache>
                <c:formatCode>_(* #,##0_);_(* \(#,##0\);_(* "-"??_);_(@_)</c:formatCode>
                <c:ptCount val="15"/>
                <c:pt idx="0">
                  <c:v>23.8</c:v>
                </c:pt>
                <c:pt idx="1">
                  <c:v>7.8</c:v>
                </c:pt>
                <c:pt idx="2">
                  <c:v>39.0</c:v>
                </c:pt>
                <c:pt idx="3">
                  <c:v>2.8</c:v>
                </c:pt>
                <c:pt idx="4">
                  <c:v>1.3</c:v>
                </c:pt>
                <c:pt idx="5">
                  <c:v>4.9</c:v>
                </c:pt>
                <c:pt idx="6">
                  <c:v>9.4</c:v>
                </c:pt>
                <c:pt idx="7">
                  <c:v>6.3</c:v>
                </c:pt>
                <c:pt idx="8">
                  <c:v>12.6</c:v>
                </c:pt>
                <c:pt idx="9">
                  <c:v>2.4</c:v>
                </c:pt>
                <c:pt idx="10">
                  <c:v>46.5</c:v>
                </c:pt>
                <c:pt idx="11">
                  <c:v>13.7</c:v>
                </c:pt>
                <c:pt idx="12">
                  <c:v>29.6</c:v>
                </c:pt>
                <c:pt idx="13">
                  <c:v>2.2</c:v>
                </c:pt>
                <c:pt idx="14">
                  <c:v>63.0</c:v>
                </c:pt>
              </c:numCache>
            </c:numRef>
          </c:val>
        </c:ser>
        <c:dLbls>
          <c:showLegendKey val="0"/>
          <c:showVal val="0"/>
          <c:showCatName val="0"/>
          <c:showSerName val="0"/>
          <c:showPercent val="0"/>
          <c:showBubbleSize val="0"/>
        </c:dLbls>
        <c:gapWidth val="150"/>
        <c:axId val="2089041040"/>
        <c:axId val="2089044160"/>
      </c:barChart>
      <c:catAx>
        <c:axId val="2089041040"/>
        <c:scaling>
          <c:orientation val="minMax"/>
        </c:scaling>
        <c:delete val="0"/>
        <c:axPos val="l"/>
        <c:numFmt formatCode="General" sourceLinked="1"/>
        <c:majorTickMark val="out"/>
        <c:minorTickMark val="none"/>
        <c:tickLblPos val="nextTo"/>
        <c:txPr>
          <a:bodyPr/>
          <a:lstStyle/>
          <a:p>
            <a:pPr>
              <a:defRPr lang="en-GB"/>
            </a:pPr>
            <a:endParaRPr lang="en-US"/>
          </a:p>
        </c:txPr>
        <c:crossAx val="2089044160"/>
        <c:crosses val="autoZero"/>
        <c:auto val="1"/>
        <c:lblAlgn val="ctr"/>
        <c:lblOffset val="100"/>
        <c:noMultiLvlLbl val="0"/>
      </c:catAx>
      <c:valAx>
        <c:axId val="2089044160"/>
        <c:scaling>
          <c:orientation val="minMax"/>
        </c:scaling>
        <c:delete val="0"/>
        <c:axPos val="b"/>
        <c:majorGridlines/>
        <c:numFmt formatCode="_(* #,##0_);_(* \(#,##0\);_(* &quot;-&quot;??_);_(@_)" sourceLinked="1"/>
        <c:majorTickMark val="out"/>
        <c:minorTickMark val="none"/>
        <c:tickLblPos val="nextTo"/>
        <c:txPr>
          <a:bodyPr/>
          <a:lstStyle/>
          <a:p>
            <a:pPr>
              <a:defRPr lang="en-GB"/>
            </a:pPr>
            <a:endParaRPr lang="en-US"/>
          </a:p>
        </c:txPr>
        <c:crossAx val="2089041040"/>
        <c:crosses val="autoZero"/>
        <c:crossBetween val="between"/>
      </c:valAx>
    </c:plotArea>
    <c:legend>
      <c:legendPos val="r"/>
      <c:overlay val="0"/>
      <c:txPr>
        <a:bodyPr/>
        <a:lstStyle/>
        <a:p>
          <a:pPr>
            <a:defRPr lang="en-GB"/>
          </a:pPr>
          <a:endParaRPr lang="en-US"/>
        </a:p>
      </c:txPr>
    </c:legend>
    <c:plotVisOnly val="1"/>
    <c:dispBlanksAs val="gap"/>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'[5]SPH and labour status'!$A$3</c:f>
              <c:strCache>
                <c:ptCount val="1"/>
                <c:pt idx="0">
                  <c:v>#REF!</c:v>
                </c:pt>
              </c:strCache>
            </c:strRef>
          </c:tx>
          <c:invertIfNegative val="0"/>
          <c:cat>
            <c:numRef>
              <c:f>'[5]SPH and labour status'!$B$2:$D$2</c:f>
              <c:numCache>
                <c:formatCode>General</c:formatCode>
                <c:ptCount val="3"/>
                <c:pt idx="0">
                  <c:v>0.0</c:v>
                </c:pt>
                <c:pt idx="1">
                  <c:v>0.0</c:v>
                </c:pt>
                <c:pt idx="2">
                  <c:v>0.0</c:v>
                </c:pt>
              </c:numCache>
            </c:numRef>
          </c:cat>
          <c:val>
            <c:numRef>
              <c:f>'[5]SPH and labour status'!$B$3:$D$3</c:f>
              <c:numCache>
                <c:formatCode>General</c:formatCode>
                <c:ptCount val="3"/>
                <c:pt idx="0">
                  <c:v>0.0</c:v>
                </c:pt>
                <c:pt idx="1">
                  <c:v>0.0</c:v>
                </c:pt>
                <c:pt idx="2">
                  <c:v>0.0</c:v>
                </c:pt>
              </c:numCache>
            </c:numRef>
          </c:val>
        </c:ser>
        <c:ser>
          <c:idx val="1"/>
          <c:order val="1"/>
          <c:tx>
            <c:strRef>
              <c:f>'[5]SPH and labour status'!$A$4</c:f>
              <c:strCache>
                <c:ptCount val="1"/>
                <c:pt idx="0">
                  <c:v>#REF!</c:v>
                </c:pt>
              </c:strCache>
            </c:strRef>
          </c:tx>
          <c:invertIfNegative val="0"/>
          <c:cat>
            <c:numRef>
              <c:f>'[5]SPH and labour status'!$B$2:$D$2</c:f>
              <c:numCache>
                <c:formatCode>General</c:formatCode>
                <c:ptCount val="3"/>
                <c:pt idx="0">
                  <c:v>0.0</c:v>
                </c:pt>
                <c:pt idx="1">
                  <c:v>0.0</c:v>
                </c:pt>
                <c:pt idx="2">
                  <c:v>0.0</c:v>
                </c:pt>
              </c:numCache>
            </c:numRef>
          </c:cat>
          <c:val>
            <c:numRef>
              <c:f>'[5]SPH and labour status'!$B$4:$D$4</c:f>
              <c:numCache>
                <c:formatCode>General</c:formatCode>
                <c:ptCount val="3"/>
                <c:pt idx="0">
                  <c:v>0.0</c:v>
                </c:pt>
                <c:pt idx="1">
                  <c:v>0.0</c:v>
                </c:pt>
                <c:pt idx="2">
                  <c:v>0.0</c:v>
                </c:pt>
              </c:numCache>
            </c:numRef>
          </c:val>
        </c:ser>
        <c:dLbls>
          <c:showLegendKey val="0"/>
          <c:showVal val="0"/>
          <c:showCatName val="0"/>
          <c:showSerName val="0"/>
          <c:showPercent val="0"/>
          <c:showBubbleSize val="0"/>
        </c:dLbls>
        <c:gapWidth val="150"/>
        <c:axId val="2089076464"/>
        <c:axId val="2089079472"/>
      </c:barChart>
      <c:catAx>
        <c:axId val="2089076464"/>
        <c:scaling>
          <c:orientation val="minMax"/>
        </c:scaling>
        <c:delete val="0"/>
        <c:axPos val="b"/>
        <c:numFmt formatCode="General" sourceLinked="1"/>
        <c:majorTickMark val="out"/>
        <c:minorTickMark val="none"/>
        <c:tickLblPos val="nextTo"/>
        <c:txPr>
          <a:bodyPr/>
          <a:lstStyle/>
          <a:p>
            <a:pPr>
              <a:defRPr lang="da-DK"/>
            </a:pPr>
            <a:endParaRPr lang="en-US"/>
          </a:p>
        </c:txPr>
        <c:crossAx val="2089079472"/>
        <c:crosses val="autoZero"/>
        <c:auto val="1"/>
        <c:lblAlgn val="ctr"/>
        <c:lblOffset val="100"/>
        <c:noMultiLvlLbl val="0"/>
      </c:catAx>
      <c:valAx>
        <c:axId val="2089079472"/>
        <c:scaling>
          <c:orientation val="minMax"/>
        </c:scaling>
        <c:delete val="0"/>
        <c:axPos val="l"/>
        <c:majorGridlines/>
        <c:title>
          <c:tx>
            <c:rich>
              <a:bodyPr rot="-5400000" vert="horz"/>
              <a:lstStyle/>
              <a:p>
                <a:pPr>
                  <a:defRPr lang="da-DK"/>
                </a:pPr>
                <a:r>
                  <a:rPr lang="da-DK"/>
                  <a:t>Self-percieved health for emplyed person</a:t>
                </a:r>
                <a:r>
                  <a:rPr lang="da-DK" baseline="0"/>
                  <a:t> (25-44 years old)</a:t>
                </a:r>
                <a:endParaRPr lang="da-DK"/>
              </a:p>
            </c:rich>
          </c:tx>
          <c:layout>
            <c:manualLayout>
              <c:xMode val="edge"/>
              <c:yMode val="edge"/>
              <c:x val="0.0305555555555556"/>
              <c:y val="0.136944444444444"/>
            </c:manualLayout>
          </c:layout>
          <c:overlay val="0"/>
        </c:title>
        <c:numFmt formatCode="General" sourceLinked="1"/>
        <c:majorTickMark val="out"/>
        <c:minorTickMark val="none"/>
        <c:tickLblPos val="nextTo"/>
        <c:txPr>
          <a:bodyPr/>
          <a:lstStyle/>
          <a:p>
            <a:pPr>
              <a:defRPr lang="da-DK"/>
            </a:pPr>
            <a:endParaRPr lang="en-US"/>
          </a:p>
        </c:txPr>
        <c:crossAx val="2089076464"/>
        <c:crosses val="autoZero"/>
        <c:crossBetween val="between"/>
      </c:valAx>
    </c:plotArea>
    <c:legend>
      <c:legendPos val="r"/>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ser>
          <c:idx val="0"/>
          <c:order val="0"/>
          <c:tx>
            <c:v>Quintile 1</c:v>
          </c:tx>
          <c:invertIfNegative val="0"/>
          <c:cat>
            <c:strRef>
              <c:f>Figure24!$A$16:$A$48</c:f>
              <c:strCache>
                <c:ptCount val="33"/>
                <c:pt idx="0">
                  <c:v>EU27a</c:v>
                </c:pt>
                <c:pt idx="1">
                  <c:v>Belgium</c:v>
                </c:pt>
                <c:pt idx="2">
                  <c:v>Bulgaria</c:v>
                </c:pt>
                <c:pt idx="3">
                  <c:v>Czech Republic</c:v>
                </c:pt>
                <c:pt idx="4">
                  <c:v>Denmark</c:v>
                </c:pt>
                <c:pt idx="5">
                  <c:v>Germany</c:v>
                </c:pt>
                <c:pt idx="6">
                  <c:v>Estonia</c:v>
                </c:pt>
                <c:pt idx="7">
                  <c:v>Ireland</c:v>
                </c:pt>
                <c:pt idx="8">
                  <c:v>Greece</c:v>
                </c:pt>
                <c:pt idx="9">
                  <c:v>Spain</c:v>
                </c:pt>
                <c:pt idx="10">
                  <c:v>France</c:v>
                </c:pt>
                <c:pt idx="11">
                  <c:v>Italy</c:v>
                </c:pt>
                <c:pt idx="12">
                  <c:v>Cyprus</c:v>
                </c:pt>
                <c:pt idx="13">
                  <c:v>Latvia</c:v>
                </c:pt>
                <c:pt idx="14">
                  <c:v>Lithuania</c:v>
                </c:pt>
                <c:pt idx="15">
                  <c:v>Luxembourg</c:v>
                </c:pt>
                <c:pt idx="16">
                  <c:v>Hungary</c:v>
                </c:pt>
                <c:pt idx="17">
                  <c:v>Malta</c:v>
                </c:pt>
                <c:pt idx="18">
                  <c:v>Netherlands</c:v>
                </c:pt>
                <c:pt idx="19">
                  <c:v>Austria</c:v>
                </c:pt>
                <c:pt idx="20">
                  <c:v>Poland</c:v>
                </c:pt>
                <c:pt idx="21">
                  <c:v>Portugal</c:v>
                </c:pt>
                <c:pt idx="22">
                  <c:v>Romania</c:v>
                </c:pt>
                <c:pt idx="23">
                  <c:v>Slovenia</c:v>
                </c:pt>
                <c:pt idx="24">
                  <c:v>Slovakia</c:v>
                </c:pt>
                <c:pt idx="25">
                  <c:v>Finland</c:v>
                </c:pt>
                <c:pt idx="26">
                  <c:v>Sweden</c:v>
                </c:pt>
                <c:pt idx="27">
                  <c:v>United Kingdom</c:v>
                </c:pt>
                <c:pt idx="28">
                  <c:v>Iceland</c:v>
                </c:pt>
                <c:pt idx="29">
                  <c:v>Norway</c:v>
                </c:pt>
                <c:pt idx="30">
                  <c:v>Switzerland</c:v>
                </c:pt>
                <c:pt idx="31">
                  <c:v>Montenegro</c:v>
                </c:pt>
                <c:pt idx="32">
                  <c:v>Serbia</c:v>
                </c:pt>
              </c:strCache>
            </c:strRef>
          </c:cat>
          <c:val>
            <c:numRef>
              <c:f>Figure24!$B$16:$B$48</c:f>
              <c:numCache>
                <c:formatCode>#,##0.0</c:formatCode>
                <c:ptCount val="33"/>
                <c:pt idx="0">
                  <c:v>5.1</c:v>
                </c:pt>
                <c:pt idx="1">
                  <c:v>10.4</c:v>
                </c:pt>
                <c:pt idx="2">
                  <c:v>4.3</c:v>
                </c:pt>
                <c:pt idx="3">
                  <c:v>5.9</c:v>
                </c:pt>
                <c:pt idx="4">
                  <c:v>3.1</c:v>
                </c:pt>
                <c:pt idx="5">
                  <c:v>7.1</c:v>
                </c:pt>
                <c:pt idx="6">
                  <c:v>9.0</c:v>
                </c:pt>
                <c:pt idx="7">
                  <c:v>2.6</c:v>
                </c:pt>
                <c:pt idx="8">
                  <c:v>1.8</c:v>
                </c:pt>
                <c:pt idx="9">
                  <c:v>3.0</c:v>
                </c:pt>
                <c:pt idx="10">
                  <c:v>5.9</c:v>
                </c:pt>
                <c:pt idx="11">
                  <c:v>3.2</c:v>
                </c:pt>
                <c:pt idx="12">
                  <c:v>2.6</c:v>
                </c:pt>
                <c:pt idx="13">
                  <c:v>6.1</c:v>
                </c:pt>
                <c:pt idx="14">
                  <c:v>5.6</c:v>
                </c:pt>
                <c:pt idx="15">
                  <c:v>8.0</c:v>
                </c:pt>
                <c:pt idx="16">
                  <c:v>6.1</c:v>
                </c:pt>
                <c:pt idx="17">
                  <c:v>0.5</c:v>
                </c:pt>
                <c:pt idx="18">
                  <c:v>8.2</c:v>
                </c:pt>
                <c:pt idx="19">
                  <c:v>5.0</c:v>
                </c:pt>
                <c:pt idx="20">
                  <c:v>4.8</c:v>
                </c:pt>
                <c:pt idx="21">
                  <c:v>8.5</c:v>
                </c:pt>
                <c:pt idx="22">
                  <c:v>3.1</c:v>
                </c:pt>
                <c:pt idx="23">
                  <c:v>5.3</c:v>
                </c:pt>
                <c:pt idx="24">
                  <c:v>3.9</c:v>
                </c:pt>
                <c:pt idx="25">
                  <c:v>3.8</c:v>
                </c:pt>
                <c:pt idx="26">
                  <c:v>7.2</c:v>
                </c:pt>
                <c:pt idx="27">
                  <c:v>4.8</c:v>
                </c:pt>
                <c:pt idx="28">
                  <c:v>4.9</c:v>
                </c:pt>
                <c:pt idx="29">
                  <c:v>8.8</c:v>
                </c:pt>
                <c:pt idx="30">
                  <c:v>4.2</c:v>
                </c:pt>
                <c:pt idx="31">
                  <c:v>5.1</c:v>
                </c:pt>
                <c:pt idx="32">
                  <c:v>7.1</c:v>
                </c:pt>
              </c:numCache>
            </c:numRef>
          </c:val>
        </c:ser>
        <c:ser>
          <c:idx val="1"/>
          <c:order val="1"/>
          <c:tx>
            <c:v>Quintile 5</c:v>
          </c:tx>
          <c:invertIfNegative val="0"/>
          <c:cat>
            <c:strRef>
              <c:f>Figure24!$A$16:$A$48</c:f>
              <c:strCache>
                <c:ptCount val="33"/>
                <c:pt idx="0">
                  <c:v>EU27a</c:v>
                </c:pt>
                <c:pt idx="1">
                  <c:v>Belgium</c:v>
                </c:pt>
                <c:pt idx="2">
                  <c:v>Bulgaria</c:v>
                </c:pt>
                <c:pt idx="3">
                  <c:v>Czech Republic</c:v>
                </c:pt>
                <c:pt idx="4">
                  <c:v>Denmark</c:v>
                </c:pt>
                <c:pt idx="5">
                  <c:v>Germany</c:v>
                </c:pt>
                <c:pt idx="6">
                  <c:v>Estonia</c:v>
                </c:pt>
                <c:pt idx="7">
                  <c:v>Ireland</c:v>
                </c:pt>
                <c:pt idx="8">
                  <c:v>Greece</c:v>
                </c:pt>
                <c:pt idx="9">
                  <c:v>Spain</c:v>
                </c:pt>
                <c:pt idx="10">
                  <c:v>France</c:v>
                </c:pt>
                <c:pt idx="11">
                  <c:v>Italy</c:v>
                </c:pt>
                <c:pt idx="12">
                  <c:v>Cyprus</c:v>
                </c:pt>
                <c:pt idx="13">
                  <c:v>Latvia</c:v>
                </c:pt>
                <c:pt idx="14">
                  <c:v>Lithuania</c:v>
                </c:pt>
                <c:pt idx="15">
                  <c:v>Luxembourg</c:v>
                </c:pt>
                <c:pt idx="16">
                  <c:v>Hungary</c:v>
                </c:pt>
                <c:pt idx="17">
                  <c:v>Malta</c:v>
                </c:pt>
                <c:pt idx="18">
                  <c:v>Netherlands</c:v>
                </c:pt>
                <c:pt idx="19">
                  <c:v>Austria</c:v>
                </c:pt>
                <c:pt idx="20">
                  <c:v>Poland</c:v>
                </c:pt>
                <c:pt idx="21">
                  <c:v>Portugal</c:v>
                </c:pt>
                <c:pt idx="22">
                  <c:v>Romania</c:v>
                </c:pt>
                <c:pt idx="23">
                  <c:v>Slovenia</c:v>
                </c:pt>
                <c:pt idx="24">
                  <c:v>Slovakia</c:v>
                </c:pt>
                <c:pt idx="25">
                  <c:v>Finland</c:v>
                </c:pt>
                <c:pt idx="26">
                  <c:v>Sweden</c:v>
                </c:pt>
                <c:pt idx="27">
                  <c:v>United Kingdom</c:v>
                </c:pt>
                <c:pt idx="28">
                  <c:v>Iceland</c:v>
                </c:pt>
                <c:pt idx="29">
                  <c:v>Norway</c:v>
                </c:pt>
                <c:pt idx="30">
                  <c:v>Switzerland</c:v>
                </c:pt>
                <c:pt idx="31">
                  <c:v>Montenegro</c:v>
                </c:pt>
                <c:pt idx="32">
                  <c:v>Serbia</c:v>
                </c:pt>
              </c:strCache>
            </c:strRef>
          </c:cat>
          <c:val>
            <c:numRef>
              <c:f>Figure24!$F$16:$F$48</c:f>
              <c:numCache>
                <c:formatCode>#,##0.0</c:formatCode>
                <c:ptCount val="33"/>
                <c:pt idx="0">
                  <c:v>1.6</c:v>
                </c:pt>
                <c:pt idx="1">
                  <c:v>0.7</c:v>
                </c:pt>
                <c:pt idx="2">
                  <c:v>0.3</c:v>
                </c:pt>
                <c:pt idx="3">
                  <c:v>0.5</c:v>
                </c:pt>
                <c:pt idx="4">
                  <c:v>1.6</c:v>
                </c:pt>
                <c:pt idx="5">
                  <c:v>2.5</c:v>
                </c:pt>
                <c:pt idx="6">
                  <c:v>0.2</c:v>
                </c:pt>
                <c:pt idx="7">
                  <c:v>0.8</c:v>
                </c:pt>
                <c:pt idx="8">
                  <c:v>1.1</c:v>
                </c:pt>
                <c:pt idx="9">
                  <c:v>1.2</c:v>
                </c:pt>
                <c:pt idx="10">
                  <c:v>2.0</c:v>
                </c:pt>
                <c:pt idx="11">
                  <c:v>2.4</c:v>
                </c:pt>
                <c:pt idx="12">
                  <c:v>0.3</c:v>
                </c:pt>
                <c:pt idx="13">
                  <c:v>1.7</c:v>
                </c:pt>
                <c:pt idx="14">
                  <c:v>1.5</c:v>
                </c:pt>
                <c:pt idx="15">
                  <c:v>1.3</c:v>
                </c:pt>
                <c:pt idx="16">
                  <c:v>1.1</c:v>
                </c:pt>
                <c:pt idx="17">
                  <c:v>0.1</c:v>
                </c:pt>
                <c:pt idx="18">
                  <c:v>2.8</c:v>
                </c:pt>
                <c:pt idx="19">
                  <c:v>0.5</c:v>
                </c:pt>
                <c:pt idx="20">
                  <c:v>1.8</c:v>
                </c:pt>
                <c:pt idx="21">
                  <c:v>0.9</c:v>
                </c:pt>
                <c:pt idx="22">
                  <c:v>2.0</c:v>
                </c:pt>
                <c:pt idx="23">
                  <c:v>0.6</c:v>
                </c:pt>
                <c:pt idx="24">
                  <c:v>0.5</c:v>
                </c:pt>
                <c:pt idx="25">
                  <c:v>0.7</c:v>
                </c:pt>
                <c:pt idx="26">
                  <c:v>2.9</c:v>
                </c:pt>
                <c:pt idx="27">
                  <c:v>0.5</c:v>
                </c:pt>
                <c:pt idx="28">
                  <c:v>3.5</c:v>
                </c:pt>
                <c:pt idx="29">
                  <c:v>3.5</c:v>
                </c:pt>
                <c:pt idx="30">
                  <c:v>0.1</c:v>
                </c:pt>
                <c:pt idx="31">
                  <c:v>0.6</c:v>
                </c:pt>
                <c:pt idx="32">
                  <c:v>2.5</c:v>
                </c:pt>
              </c:numCache>
            </c:numRef>
          </c:val>
        </c:ser>
        <c:dLbls>
          <c:showLegendKey val="0"/>
          <c:showVal val="0"/>
          <c:showCatName val="0"/>
          <c:showSerName val="0"/>
          <c:showPercent val="0"/>
          <c:showBubbleSize val="0"/>
        </c:dLbls>
        <c:gapWidth val="150"/>
        <c:axId val="2090005184"/>
        <c:axId val="2090008448"/>
      </c:barChart>
      <c:catAx>
        <c:axId val="2090005184"/>
        <c:scaling>
          <c:orientation val="minMax"/>
        </c:scaling>
        <c:delete val="0"/>
        <c:axPos val="b"/>
        <c:numFmt formatCode="General" sourceLinked="0"/>
        <c:majorTickMark val="out"/>
        <c:minorTickMark val="none"/>
        <c:tickLblPos val="nextTo"/>
        <c:crossAx val="2090008448"/>
        <c:crosses val="autoZero"/>
        <c:auto val="1"/>
        <c:lblAlgn val="ctr"/>
        <c:lblOffset val="100"/>
        <c:noMultiLvlLbl val="0"/>
      </c:catAx>
      <c:valAx>
        <c:axId val="2090008448"/>
        <c:scaling>
          <c:orientation val="minMax"/>
        </c:scaling>
        <c:delete val="0"/>
        <c:axPos val="l"/>
        <c:majorGridlines/>
        <c:numFmt formatCode="#,##0.0" sourceLinked="1"/>
        <c:majorTickMark val="out"/>
        <c:minorTickMark val="none"/>
        <c:tickLblPos val="nextTo"/>
        <c:crossAx val="2090005184"/>
        <c:crosses val="autoZero"/>
        <c:crossBetween val="between"/>
      </c:valAx>
    </c:plotArea>
    <c:legend>
      <c:legendPos val="r"/>
      <c:overlay val="0"/>
    </c:legend>
    <c:plotVisOnly val="1"/>
    <c:dispBlanksAs val="gap"/>
    <c:showDLblsOverMax val="0"/>
  </c:chart>
  <c:printSettings>
    <c:headerFooter/>
    <c:pageMargins b="1.0" l="0.75" r="0.75" t="1.0"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'[6]IHD &amp; Stroke 50-69'!$B$5</c:f>
              <c:strCache>
                <c:ptCount val="1"/>
                <c:pt idx="0">
                  <c:v>#REF!</c:v>
                </c:pt>
              </c:strCache>
            </c:strRef>
          </c:tx>
          <c:invertIfNegative val="0"/>
          <c:cat>
            <c:strRef>
              <c:f>Figure25!$A$6:$A$55</c:f>
              <c:strCache>
                <c:ptCount val="50"/>
                <c:pt idx="0">
                  <c:v>France</c:v>
                </c:pt>
                <c:pt idx="1">
                  <c:v>Israel</c:v>
                </c:pt>
                <c:pt idx="2">
                  <c:v>Spain</c:v>
                </c:pt>
                <c:pt idx="3">
                  <c:v>Switzerland</c:v>
                </c:pt>
                <c:pt idx="4">
                  <c:v>Luxembourg</c:v>
                </c:pt>
                <c:pt idx="5">
                  <c:v>Iceland</c:v>
                </c:pt>
                <c:pt idx="6">
                  <c:v>Portugal</c:v>
                </c:pt>
                <c:pt idx="7">
                  <c:v>Denmark</c:v>
                </c:pt>
                <c:pt idx="8">
                  <c:v>Netherlands</c:v>
                </c:pt>
                <c:pt idx="9">
                  <c:v>Slovenia</c:v>
                </c:pt>
                <c:pt idx="10">
                  <c:v>Italy</c:v>
                </c:pt>
                <c:pt idx="11">
                  <c:v>Cyprus</c:v>
                </c:pt>
                <c:pt idx="12">
                  <c:v>Norway</c:v>
                </c:pt>
                <c:pt idx="13">
                  <c:v>Germany</c:v>
                </c:pt>
                <c:pt idx="14">
                  <c:v>United Kingdom</c:v>
                </c:pt>
                <c:pt idx="15">
                  <c:v>Sweden</c:v>
                </c:pt>
                <c:pt idx="16">
                  <c:v>Finland</c:v>
                </c:pt>
                <c:pt idx="17">
                  <c:v>Belgium</c:v>
                </c:pt>
                <c:pt idx="18">
                  <c:v>Austria</c:v>
                </c:pt>
                <c:pt idx="19">
                  <c:v>Ireland</c:v>
                </c:pt>
                <c:pt idx="20">
                  <c:v>Greece</c:v>
                </c:pt>
                <c:pt idx="21">
                  <c:v>Malta</c:v>
                </c:pt>
                <c:pt idx="22">
                  <c:v>Estonia</c:v>
                </c:pt>
                <c:pt idx="23">
                  <c:v>Montenegro</c:v>
                </c:pt>
                <c:pt idx="24">
                  <c:v>Croatia</c:v>
                </c:pt>
                <c:pt idx="25">
                  <c:v>Poland</c:v>
                </c:pt>
                <c:pt idx="26">
                  <c:v>Czech Republic</c:v>
                </c:pt>
                <c:pt idx="27">
                  <c:v>Serbia</c:v>
                </c:pt>
                <c:pt idx="28">
                  <c:v>Turkey</c:v>
                </c:pt>
                <c:pt idx="29">
                  <c:v>TFYR Macedonia</c:v>
                </c:pt>
                <c:pt idx="30">
                  <c:v>Bosnia and Herzegovina</c:v>
                </c:pt>
                <c:pt idx="31">
                  <c:v>Romania</c:v>
                </c:pt>
                <c:pt idx="32">
                  <c:v>Hungary</c:v>
                </c:pt>
                <c:pt idx="33">
                  <c:v>Slovakia</c:v>
                </c:pt>
                <c:pt idx="34">
                  <c:v>Albania</c:v>
                </c:pt>
                <c:pt idx="35">
                  <c:v>Lithuania</c:v>
                </c:pt>
                <c:pt idx="36">
                  <c:v>Bulgaria</c:v>
                </c:pt>
                <c:pt idx="37">
                  <c:v>Latvia</c:v>
                </c:pt>
                <c:pt idx="38">
                  <c:v>Georgia</c:v>
                </c:pt>
                <c:pt idx="39">
                  <c:v>Armenia</c:v>
                </c:pt>
                <c:pt idx="40">
                  <c:v>Azerbaijan</c:v>
                </c:pt>
                <c:pt idx="41">
                  <c:v>Russian Federation</c:v>
                </c:pt>
                <c:pt idx="42">
                  <c:v>Belarus</c:v>
                </c:pt>
                <c:pt idx="43">
                  <c:v>Republic of Moldova</c:v>
                </c:pt>
                <c:pt idx="44">
                  <c:v>Kyrgyzstan</c:v>
                </c:pt>
                <c:pt idx="45">
                  <c:v>Kazakhstan</c:v>
                </c:pt>
                <c:pt idx="46">
                  <c:v>Ukraine</c:v>
                </c:pt>
                <c:pt idx="47">
                  <c:v>Tajikistan</c:v>
                </c:pt>
                <c:pt idx="48">
                  <c:v>Uzbekistan</c:v>
                </c:pt>
                <c:pt idx="49">
                  <c:v>Turkmenistan</c:v>
                </c:pt>
              </c:strCache>
            </c:strRef>
          </c:cat>
          <c:val>
            <c:numRef>
              <c:f>'[6]IHD &amp; Stroke 50-69'!$B$6:$B$55</c:f>
              <c:numCache>
                <c:formatCode>General</c:formatCode>
                <c:ptCount val="50"/>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numCache>
            </c:numRef>
          </c:val>
        </c:ser>
        <c:ser>
          <c:idx val="1"/>
          <c:order val="1"/>
          <c:tx>
            <c:strRef>
              <c:f>'[6]IHD &amp; Stroke 50-69'!$D$5</c:f>
              <c:strCache>
                <c:ptCount val="1"/>
                <c:pt idx="0">
                  <c:v>#REF!</c:v>
                </c:pt>
              </c:strCache>
            </c:strRef>
          </c:tx>
          <c:invertIfNegative val="0"/>
          <c:cat>
            <c:strRef>
              <c:f>Figure25!$A$6:$A$55</c:f>
              <c:strCache>
                <c:ptCount val="50"/>
                <c:pt idx="0">
                  <c:v>France</c:v>
                </c:pt>
                <c:pt idx="1">
                  <c:v>Israel</c:v>
                </c:pt>
                <c:pt idx="2">
                  <c:v>Spain</c:v>
                </c:pt>
                <c:pt idx="3">
                  <c:v>Switzerland</c:v>
                </c:pt>
                <c:pt idx="4">
                  <c:v>Luxembourg</c:v>
                </c:pt>
                <c:pt idx="5">
                  <c:v>Iceland</c:v>
                </c:pt>
                <c:pt idx="6">
                  <c:v>Portugal</c:v>
                </c:pt>
                <c:pt idx="7">
                  <c:v>Denmark</c:v>
                </c:pt>
                <c:pt idx="8">
                  <c:v>Netherlands</c:v>
                </c:pt>
                <c:pt idx="9">
                  <c:v>Slovenia</c:v>
                </c:pt>
                <c:pt idx="10">
                  <c:v>Italy</c:v>
                </c:pt>
                <c:pt idx="11">
                  <c:v>Cyprus</c:v>
                </c:pt>
                <c:pt idx="12">
                  <c:v>Norway</c:v>
                </c:pt>
                <c:pt idx="13">
                  <c:v>Germany</c:v>
                </c:pt>
                <c:pt idx="14">
                  <c:v>United Kingdom</c:v>
                </c:pt>
                <c:pt idx="15">
                  <c:v>Sweden</c:v>
                </c:pt>
                <c:pt idx="16">
                  <c:v>Finland</c:v>
                </c:pt>
                <c:pt idx="17">
                  <c:v>Belgium</c:v>
                </c:pt>
                <c:pt idx="18">
                  <c:v>Austria</c:v>
                </c:pt>
                <c:pt idx="19">
                  <c:v>Ireland</c:v>
                </c:pt>
                <c:pt idx="20">
                  <c:v>Greece</c:v>
                </c:pt>
                <c:pt idx="21">
                  <c:v>Malta</c:v>
                </c:pt>
                <c:pt idx="22">
                  <c:v>Estonia</c:v>
                </c:pt>
                <c:pt idx="23">
                  <c:v>Montenegro</c:v>
                </c:pt>
                <c:pt idx="24">
                  <c:v>Croatia</c:v>
                </c:pt>
                <c:pt idx="25">
                  <c:v>Poland</c:v>
                </c:pt>
                <c:pt idx="26">
                  <c:v>Czech Republic</c:v>
                </c:pt>
                <c:pt idx="27">
                  <c:v>Serbia</c:v>
                </c:pt>
                <c:pt idx="28">
                  <c:v>Turkey</c:v>
                </c:pt>
                <c:pt idx="29">
                  <c:v>TFYR Macedonia</c:v>
                </c:pt>
                <c:pt idx="30">
                  <c:v>Bosnia and Herzegovina</c:v>
                </c:pt>
                <c:pt idx="31">
                  <c:v>Romania</c:v>
                </c:pt>
                <c:pt idx="32">
                  <c:v>Hungary</c:v>
                </c:pt>
                <c:pt idx="33">
                  <c:v>Slovakia</c:v>
                </c:pt>
                <c:pt idx="34">
                  <c:v>Albania</c:v>
                </c:pt>
                <c:pt idx="35">
                  <c:v>Lithuania</c:v>
                </c:pt>
                <c:pt idx="36">
                  <c:v>Bulgaria</c:v>
                </c:pt>
                <c:pt idx="37">
                  <c:v>Latvia</c:v>
                </c:pt>
                <c:pt idx="38">
                  <c:v>Georgia</c:v>
                </c:pt>
                <c:pt idx="39">
                  <c:v>Armenia</c:v>
                </c:pt>
                <c:pt idx="40">
                  <c:v>Azerbaijan</c:v>
                </c:pt>
                <c:pt idx="41">
                  <c:v>Russian Federation</c:v>
                </c:pt>
                <c:pt idx="42">
                  <c:v>Belarus</c:v>
                </c:pt>
                <c:pt idx="43">
                  <c:v>Republic of Moldova</c:v>
                </c:pt>
                <c:pt idx="44">
                  <c:v>Kyrgyzstan</c:v>
                </c:pt>
                <c:pt idx="45">
                  <c:v>Kazakhstan</c:v>
                </c:pt>
                <c:pt idx="46">
                  <c:v>Ukraine</c:v>
                </c:pt>
                <c:pt idx="47">
                  <c:v>Tajikistan</c:v>
                </c:pt>
                <c:pt idx="48">
                  <c:v>Uzbekistan</c:v>
                </c:pt>
                <c:pt idx="49">
                  <c:v>Turkmenistan</c:v>
                </c:pt>
              </c:strCache>
            </c:strRef>
          </c:cat>
          <c:val>
            <c:numRef>
              <c:f>'[6]IHD &amp; Stroke 50-69'!$D$6:$D$55</c:f>
              <c:numCache>
                <c:formatCode>General</c:formatCode>
                <c:ptCount val="50"/>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numCache>
            </c:numRef>
          </c:val>
        </c:ser>
        <c:dLbls>
          <c:showLegendKey val="0"/>
          <c:showVal val="0"/>
          <c:showCatName val="0"/>
          <c:showSerName val="0"/>
          <c:showPercent val="0"/>
          <c:showBubbleSize val="0"/>
        </c:dLbls>
        <c:gapWidth val="150"/>
        <c:axId val="2090049216"/>
        <c:axId val="2090049616"/>
      </c:barChart>
      <c:catAx>
        <c:axId val="2090049216"/>
        <c:scaling>
          <c:orientation val="minMax"/>
        </c:scaling>
        <c:delete val="0"/>
        <c:axPos val="l"/>
        <c:numFmt formatCode="General" sourceLinked="0"/>
        <c:majorTickMark val="out"/>
        <c:minorTickMark val="none"/>
        <c:tickLblPos val="nextTo"/>
        <c:txPr>
          <a:bodyPr/>
          <a:lstStyle/>
          <a:p>
            <a:pPr>
              <a:defRPr lang="da-DK"/>
            </a:pPr>
            <a:endParaRPr lang="en-US"/>
          </a:p>
        </c:txPr>
        <c:crossAx val="2090049616"/>
        <c:crosses val="autoZero"/>
        <c:auto val="1"/>
        <c:lblAlgn val="ctr"/>
        <c:lblOffset val="100"/>
        <c:noMultiLvlLbl val="0"/>
      </c:catAx>
      <c:valAx>
        <c:axId val="2090049616"/>
        <c:scaling>
          <c:orientation val="minMax"/>
        </c:scaling>
        <c:delete val="0"/>
        <c:axPos val="b"/>
        <c:majorGridlines/>
        <c:title>
          <c:tx>
            <c:rich>
              <a:bodyPr/>
              <a:lstStyle/>
              <a:p>
                <a:pPr>
                  <a:defRPr lang="da-DK"/>
                </a:pPr>
                <a:r>
                  <a:rPr lang="en-US"/>
                  <a:t>DALYs</a:t>
                </a:r>
                <a:r>
                  <a:rPr lang="en-US" baseline="0"/>
                  <a:t> per 1,000 women</a:t>
                </a:r>
                <a:endParaRPr lang="en-US"/>
              </a:p>
            </c:rich>
          </c:tx>
          <c:overlay val="0"/>
        </c:title>
        <c:numFmt formatCode="General" sourceLinked="1"/>
        <c:majorTickMark val="out"/>
        <c:minorTickMark val="none"/>
        <c:tickLblPos val="nextTo"/>
        <c:txPr>
          <a:bodyPr/>
          <a:lstStyle/>
          <a:p>
            <a:pPr>
              <a:defRPr lang="da-DK"/>
            </a:pPr>
            <a:endParaRPr lang="en-US"/>
          </a:p>
        </c:txPr>
        <c:crossAx val="2090049216"/>
        <c:crosses val="autoZero"/>
        <c:crossBetween val="between"/>
      </c:valAx>
    </c:plotArea>
    <c:legend>
      <c:legendPos val="r"/>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'[6]IHD &amp; Stroke 50-69'!$C$5</c:f>
              <c:strCache>
                <c:ptCount val="1"/>
                <c:pt idx="0">
                  <c:v>#REF!</c:v>
                </c:pt>
              </c:strCache>
            </c:strRef>
          </c:tx>
          <c:invertIfNegative val="0"/>
          <c:cat>
            <c:strRef>
              <c:f>Figure26!$A$6:$A$55</c:f>
              <c:strCache>
                <c:ptCount val="50"/>
                <c:pt idx="0">
                  <c:v>France</c:v>
                </c:pt>
                <c:pt idx="1">
                  <c:v>Israel</c:v>
                </c:pt>
                <c:pt idx="2">
                  <c:v>Spain</c:v>
                </c:pt>
                <c:pt idx="3">
                  <c:v>Switzerland</c:v>
                </c:pt>
                <c:pt idx="4">
                  <c:v>Luxembourg</c:v>
                </c:pt>
                <c:pt idx="5">
                  <c:v>Iceland</c:v>
                </c:pt>
                <c:pt idx="6">
                  <c:v>Portugal</c:v>
                </c:pt>
                <c:pt idx="7">
                  <c:v>Denmark</c:v>
                </c:pt>
                <c:pt idx="8">
                  <c:v>Netherlands</c:v>
                </c:pt>
                <c:pt idx="9">
                  <c:v>Slovenia</c:v>
                </c:pt>
                <c:pt idx="10">
                  <c:v>Italy</c:v>
                </c:pt>
                <c:pt idx="11">
                  <c:v>Cyprus</c:v>
                </c:pt>
                <c:pt idx="12">
                  <c:v>Norway</c:v>
                </c:pt>
                <c:pt idx="13">
                  <c:v>Germany</c:v>
                </c:pt>
                <c:pt idx="14">
                  <c:v>United Kingdom</c:v>
                </c:pt>
                <c:pt idx="15">
                  <c:v>Sweden</c:v>
                </c:pt>
                <c:pt idx="16">
                  <c:v>Finland</c:v>
                </c:pt>
                <c:pt idx="17">
                  <c:v>Belgium</c:v>
                </c:pt>
                <c:pt idx="18">
                  <c:v>Austria</c:v>
                </c:pt>
                <c:pt idx="19">
                  <c:v>Ireland</c:v>
                </c:pt>
                <c:pt idx="20">
                  <c:v>Greece</c:v>
                </c:pt>
                <c:pt idx="21">
                  <c:v>Malta</c:v>
                </c:pt>
                <c:pt idx="22">
                  <c:v>Estonia</c:v>
                </c:pt>
                <c:pt idx="23">
                  <c:v>Montenegro</c:v>
                </c:pt>
                <c:pt idx="24">
                  <c:v>Croatia</c:v>
                </c:pt>
                <c:pt idx="25">
                  <c:v>Poland</c:v>
                </c:pt>
                <c:pt idx="26">
                  <c:v>Czech Republic</c:v>
                </c:pt>
                <c:pt idx="27">
                  <c:v>Serbia</c:v>
                </c:pt>
                <c:pt idx="28">
                  <c:v>Turkey</c:v>
                </c:pt>
                <c:pt idx="29">
                  <c:v>TFYR Macedonia</c:v>
                </c:pt>
                <c:pt idx="30">
                  <c:v>Bosnia and Herzegovina</c:v>
                </c:pt>
                <c:pt idx="31">
                  <c:v>Romania</c:v>
                </c:pt>
                <c:pt idx="32">
                  <c:v>Hungary</c:v>
                </c:pt>
                <c:pt idx="33">
                  <c:v>Slovakia</c:v>
                </c:pt>
                <c:pt idx="34">
                  <c:v>Albania</c:v>
                </c:pt>
                <c:pt idx="35">
                  <c:v>Lithuania</c:v>
                </c:pt>
                <c:pt idx="36">
                  <c:v>Bulgaria</c:v>
                </c:pt>
                <c:pt idx="37">
                  <c:v>Latvia</c:v>
                </c:pt>
                <c:pt idx="38">
                  <c:v>Georgia</c:v>
                </c:pt>
                <c:pt idx="39">
                  <c:v>Armenia</c:v>
                </c:pt>
                <c:pt idx="40">
                  <c:v>Azerbaijan</c:v>
                </c:pt>
                <c:pt idx="41">
                  <c:v>Russian Federation</c:v>
                </c:pt>
                <c:pt idx="42">
                  <c:v>Belarus</c:v>
                </c:pt>
                <c:pt idx="43">
                  <c:v>Republic of Moldova</c:v>
                </c:pt>
                <c:pt idx="44">
                  <c:v>Kyrgyzstan</c:v>
                </c:pt>
                <c:pt idx="45">
                  <c:v>Kazakhstan</c:v>
                </c:pt>
                <c:pt idx="46">
                  <c:v>Ukraine</c:v>
                </c:pt>
                <c:pt idx="47">
                  <c:v>Tajikistan</c:v>
                </c:pt>
                <c:pt idx="48">
                  <c:v>Uzbekistan</c:v>
                </c:pt>
                <c:pt idx="49">
                  <c:v>Turkmenistan</c:v>
                </c:pt>
              </c:strCache>
            </c:strRef>
          </c:cat>
          <c:val>
            <c:numRef>
              <c:f>'[6]IHD &amp; Stroke 50-69'!$C$6:$C$55</c:f>
              <c:numCache>
                <c:formatCode>General</c:formatCode>
                <c:ptCount val="50"/>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numCache>
            </c:numRef>
          </c:val>
        </c:ser>
        <c:ser>
          <c:idx val="1"/>
          <c:order val="1"/>
          <c:tx>
            <c:strRef>
              <c:f>'[6]IHD &amp; Stroke 50-69'!$E$5</c:f>
              <c:strCache>
                <c:ptCount val="1"/>
                <c:pt idx="0">
                  <c:v>#REF!</c:v>
                </c:pt>
              </c:strCache>
            </c:strRef>
          </c:tx>
          <c:invertIfNegative val="0"/>
          <c:cat>
            <c:strRef>
              <c:f>Figure26!$A$6:$A$55</c:f>
              <c:strCache>
                <c:ptCount val="50"/>
                <c:pt idx="0">
                  <c:v>France</c:v>
                </c:pt>
                <c:pt idx="1">
                  <c:v>Israel</c:v>
                </c:pt>
                <c:pt idx="2">
                  <c:v>Spain</c:v>
                </c:pt>
                <c:pt idx="3">
                  <c:v>Switzerland</c:v>
                </c:pt>
                <c:pt idx="4">
                  <c:v>Luxembourg</c:v>
                </c:pt>
                <c:pt idx="5">
                  <c:v>Iceland</c:v>
                </c:pt>
                <c:pt idx="6">
                  <c:v>Portugal</c:v>
                </c:pt>
                <c:pt idx="7">
                  <c:v>Denmark</c:v>
                </c:pt>
                <c:pt idx="8">
                  <c:v>Netherlands</c:v>
                </c:pt>
                <c:pt idx="9">
                  <c:v>Slovenia</c:v>
                </c:pt>
                <c:pt idx="10">
                  <c:v>Italy</c:v>
                </c:pt>
                <c:pt idx="11">
                  <c:v>Cyprus</c:v>
                </c:pt>
                <c:pt idx="12">
                  <c:v>Norway</c:v>
                </c:pt>
                <c:pt idx="13">
                  <c:v>Germany</c:v>
                </c:pt>
                <c:pt idx="14">
                  <c:v>United Kingdom</c:v>
                </c:pt>
                <c:pt idx="15">
                  <c:v>Sweden</c:v>
                </c:pt>
                <c:pt idx="16">
                  <c:v>Finland</c:v>
                </c:pt>
                <c:pt idx="17">
                  <c:v>Belgium</c:v>
                </c:pt>
                <c:pt idx="18">
                  <c:v>Austria</c:v>
                </c:pt>
                <c:pt idx="19">
                  <c:v>Ireland</c:v>
                </c:pt>
                <c:pt idx="20">
                  <c:v>Greece</c:v>
                </c:pt>
                <c:pt idx="21">
                  <c:v>Malta</c:v>
                </c:pt>
                <c:pt idx="22">
                  <c:v>Estonia</c:v>
                </c:pt>
                <c:pt idx="23">
                  <c:v>Montenegro</c:v>
                </c:pt>
                <c:pt idx="24">
                  <c:v>Croatia</c:v>
                </c:pt>
                <c:pt idx="25">
                  <c:v>Poland</c:v>
                </c:pt>
                <c:pt idx="26">
                  <c:v>Czech Republic</c:v>
                </c:pt>
                <c:pt idx="27">
                  <c:v>Serbia</c:v>
                </c:pt>
                <c:pt idx="28">
                  <c:v>Turkey</c:v>
                </c:pt>
                <c:pt idx="29">
                  <c:v>TFYR Macedonia</c:v>
                </c:pt>
                <c:pt idx="30">
                  <c:v>Bosnia and Herzegovina</c:v>
                </c:pt>
                <c:pt idx="31">
                  <c:v>Romania</c:v>
                </c:pt>
                <c:pt idx="32">
                  <c:v>Hungary</c:v>
                </c:pt>
                <c:pt idx="33">
                  <c:v>Slovakia</c:v>
                </c:pt>
                <c:pt idx="34">
                  <c:v>Albania</c:v>
                </c:pt>
                <c:pt idx="35">
                  <c:v>Lithuania</c:v>
                </c:pt>
                <c:pt idx="36">
                  <c:v>Bulgaria</c:v>
                </c:pt>
                <c:pt idx="37">
                  <c:v>Latvia</c:v>
                </c:pt>
                <c:pt idx="38">
                  <c:v>Georgia</c:v>
                </c:pt>
                <c:pt idx="39">
                  <c:v>Armenia</c:v>
                </c:pt>
                <c:pt idx="40">
                  <c:v>Azerbaijan</c:v>
                </c:pt>
                <c:pt idx="41">
                  <c:v>Russian Federation</c:v>
                </c:pt>
                <c:pt idx="42">
                  <c:v>Belarus</c:v>
                </c:pt>
                <c:pt idx="43">
                  <c:v>Republic of Moldova</c:v>
                </c:pt>
                <c:pt idx="44">
                  <c:v>Kyrgyzstan</c:v>
                </c:pt>
                <c:pt idx="45">
                  <c:v>Kazakhstan</c:v>
                </c:pt>
                <c:pt idx="46">
                  <c:v>Ukraine</c:v>
                </c:pt>
                <c:pt idx="47">
                  <c:v>Tajikistan</c:v>
                </c:pt>
                <c:pt idx="48">
                  <c:v>Uzbekistan</c:v>
                </c:pt>
                <c:pt idx="49">
                  <c:v>Turkmenistan</c:v>
                </c:pt>
              </c:strCache>
            </c:strRef>
          </c:cat>
          <c:val>
            <c:numRef>
              <c:f>'[6]IHD &amp; Stroke 50-69'!$E$6:$E$55</c:f>
              <c:numCache>
                <c:formatCode>General</c:formatCode>
                <c:ptCount val="50"/>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numCache>
            </c:numRef>
          </c:val>
        </c:ser>
        <c:dLbls>
          <c:showLegendKey val="0"/>
          <c:showVal val="0"/>
          <c:showCatName val="0"/>
          <c:showSerName val="0"/>
          <c:showPercent val="0"/>
          <c:showBubbleSize val="0"/>
        </c:dLbls>
        <c:gapWidth val="150"/>
        <c:axId val="2089162416"/>
        <c:axId val="2089165728"/>
      </c:barChart>
      <c:catAx>
        <c:axId val="2089162416"/>
        <c:scaling>
          <c:orientation val="minMax"/>
        </c:scaling>
        <c:delete val="0"/>
        <c:axPos val="l"/>
        <c:numFmt formatCode="General" sourceLinked="0"/>
        <c:majorTickMark val="out"/>
        <c:minorTickMark val="none"/>
        <c:tickLblPos val="nextTo"/>
        <c:txPr>
          <a:bodyPr/>
          <a:lstStyle/>
          <a:p>
            <a:pPr>
              <a:defRPr lang="da-DK"/>
            </a:pPr>
            <a:endParaRPr lang="en-US"/>
          </a:p>
        </c:txPr>
        <c:crossAx val="2089165728"/>
        <c:crosses val="autoZero"/>
        <c:auto val="1"/>
        <c:lblAlgn val="ctr"/>
        <c:lblOffset val="100"/>
        <c:noMultiLvlLbl val="0"/>
      </c:catAx>
      <c:valAx>
        <c:axId val="2089165728"/>
        <c:scaling>
          <c:orientation val="minMax"/>
        </c:scaling>
        <c:delete val="0"/>
        <c:axPos val="b"/>
        <c:majorGridlines/>
        <c:title>
          <c:tx>
            <c:rich>
              <a:bodyPr/>
              <a:lstStyle/>
              <a:p>
                <a:pPr>
                  <a:defRPr lang="da-DK"/>
                </a:pPr>
                <a:r>
                  <a:rPr lang="en-US"/>
                  <a:t>DALYs per 1,000 women</a:t>
                </a:r>
              </a:p>
            </c:rich>
          </c:tx>
          <c:overlay val="0"/>
        </c:title>
        <c:numFmt formatCode="General" sourceLinked="1"/>
        <c:majorTickMark val="out"/>
        <c:minorTickMark val="none"/>
        <c:tickLblPos val="nextTo"/>
        <c:txPr>
          <a:bodyPr/>
          <a:lstStyle/>
          <a:p>
            <a:pPr>
              <a:defRPr lang="da-DK"/>
            </a:pPr>
            <a:endParaRPr lang="en-US"/>
          </a:p>
        </c:txPr>
        <c:crossAx val="2089162416"/>
        <c:crosses val="autoZero"/>
        <c:crossBetween val="between"/>
      </c:valAx>
    </c:plotArea>
    <c:legend>
      <c:legendPos val="r"/>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'[7]Contraception any method'!$B$4</c:f>
              <c:strCache>
                <c:ptCount val="1"/>
                <c:pt idx="0">
                  <c:v>#REF!</c:v>
                </c:pt>
              </c:strCache>
            </c:strRef>
          </c:tx>
          <c:invertIfNegative val="0"/>
          <c:cat>
            <c:strRef>
              <c:f>Figure27a!$A$5:$A$47</c:f>
              <c:strCache>
                <c:ptCount val="43"/>
                <c:pt idx="0">
                  <c:v>Tajikistan</c:v>
                </c:pt>
                <c:pt idx="1">
                  <c:v>Kyrgyzstan</c:v>
                </c:pt>
                <c:pt idx="2">
                  <c:v>Montenegro</c:v>
                </c:pt>
                <c:pt idx="3">
                  <c:v>TFYR Macedonia</c:v>
                </c:pt>
                <c:pt idx="4">
                  <c:v>Bosnia and Herzegovina</c:v>
                </c:pt>
                <c:pt idx="5">
                  <c:v>Turkmenistan</c:v>
                </c:pt>
                <c:pt idx="6">
                  <c:v>Kazakhstan</c:v>
                </c:pt>
                <c:pt idx="7">
                  <c:v>Azerbaijan</c:v>
                </c:pt>
                <c:pt idx="8">
                  <c:v>Georgia</c:v>
                </c:pt>
                <c:pt idx="9">
                  <c:v>Armenia</c:v>
                </c:pt>
                <c:pt idx="10">
                  <c:v>Italy</c:v>
                </c:pt>
                <c:pt idx="11">
                  <c:v>Lithuania</c:v>
                </c:pt>
                <c:pt idx="12">
                  <c:v>Belarus</c:v>
                </c:pt>
                <c:pt idx="13">
                  <c:v>Estonia</c:v>
                </c:pt>
                <c:pt idx="14">
                  <c:v>Ireland</c:v>
                </c:pt>
                <c:pt idx="15">
                  <c:v>Uzbekistan</c:v>
                </c:pt>
                <c:pt idx="16">
                  <c:v>Ukraine</c:v>
                </c:pt>
                <c:pt idx="17">
                  <c:v>Spain</c:v>
                </c:pt>
                <c:pt idx="18">
                  <c:v>Germany</c:v>
                </c:pt>
                <c:pt idx="19">
                  <c:v>Latvia</c:v>
                </c:pt>
                <c:pt idx="20">
                  <c:v>Republic of Moldova</c:v>
                </c:pt>
                <c:pt idx="21">
                  <c:v>Russian Federation</c:v>
                </c:pt>
                <c:pt idx="22">
                  <c:v>Netherlands</c:v>
                </c:pt>
                <c:pt idx="23">
                  <c:v>Bulgaria</c:v>
                </c:pt>
                <c:pt idx="24">
                  <c:v>Albania</c:v>
                </c:pt>
                <c:pt idx="25">
                  <c:v>Austria</c:v>
                </c:pt>
                <c:pt idx="26">
                  <c:v>Romania</c:v>
                </c:pt>
                <c:pt idx="27">
                  <c:v>Belgium</c:v>
                </c:pt>
                <c:pt idx="28">
                  <c:v>Poland</c:v>
                </c:pt>
                <c:pt idx="29">
                  <c:v>Turkey</c:v>
                </c:pt>
                <c:pt idx="30">
                  <c:v>Sweden</c:v>
                </c:pt>
                <c:pt idx="31">
                  <c:v>Greece</c:v>
                </c:pt>
                <c:pt idx="32">
                  <c:v>France</c:v>
                </c:pt>
                <c:pt idx="33">
                  <c:v>Denmark</c:v>
                </c:pt>
                <c:pt idx="34">
                  <c:v>Slovenia</c:v>
                </c:pt>
                <c:pt idx="35">
                  <c:v>Slovakia</c:v>
                </c:pt>
                <c:pt idx="36">
                  <c:v>Hungary</c:v>
                </c:pt>
                <c:pt idx="37">
                  <c:v>Switzerland</c:v>
                </c:pt>
                <c:pt idx="38">
                  <c:v>United Kingdom</c:v>
                </c:pt>
                <c:pt idx="39">
                  <c:v>Malta</c:v>
                </c:pt>
                <c:pt idx="40">
                  <c:v>Czech Republic</c:v>
                </c:pt>
                <c:pt idx="41">
                  <c:v>Portugal</c:v>
                </c:pt>
                <c:pt idx="42">
                  <c:v>Norway</c:v>
                </c:pt>
              </c:strCache>
            </c:strRef>
          </c:cat>
          <c:val>
            <c:numRef>
              <c:f>'[7]Contraception any method'!$B$5:$B$47</c:f>
              <c:numCache>
                <c:formatCode>General</c:formatCode>
                <c:ptCount val="43"/>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numCache>
            </c:numRef>
          </c:val>
        </c:ser>
        <c:dLbls>
          <c:showLegendKey val="0"/>
          <c:showVal val="0"/>
          <c:showCatName val="0"/>
          <c:showSerName val="0"/>
          <c:showPercent val="0"/>
          <c:showBubbleSize val="0"/>
        </c:dLbls>
        <c:gapWidth val="150"/>
        <c:axId val="2090070064"/>
        <c:axId val="2089179776"/>
      </c:barChart>
      <c:catAx>
        <c:axId val="2090070064"/>
        <c:scaling>
          <c:orientation val="minMax"/>
        </c:scaling>
        <c:delete val="0"/>
        <c:axPos val="l"/>
        <c:numFmt formatCode="General" sourceLinked="0"/>
        <c:majorTickMark val="out"/>
        <c:minorTickMark val="none"/>
        <c:tickLblPos val="nextTo"/>
        <c:txPr>
          <a:bodyPr/>
          <a:lstStyle/>
          <a:p>
            <a:pPr>
              <a:defRPr lang="da-DK"/>
            </a:pPr>
            <a:endParaRPr lang="en-US"/>
          </a:p>
        </c:txPr>
        <c:crossAx val="2089179776"/>
        <c:crosses val="autoZero"/>
        <c:auto val="1"/>
        <c:lblAlgn val="ctr"/>
        <c:lblOffset val="100"/>
        <c:noMultiLvlLbl val="0"/>
      </c:catAx>
      <c:valAx>
        <c:axId val="2089179776"/>
        <c:scaling>
          <c:orientation val="minMax"/>
          <c:max val="100.0"/>
          <c:min val="20.0"/>
        </c:scaling>
        <c:delete val="0"/>
        <c:axPos val="b"/>
        <c:majorGridlines/>
        <c:title>
          <c:tx>
            <c:rich>
              <a:bodyPr/>
              <a:lstStyle/>
              <a:p>
                <a:pPr>
                  <a:defRPr lang="da-DK"/>
                </a:pPr>
                <a:r>
                  <a:rPr lang="en-US"/>
                  <a:t>Percentage (%)</a:t>
                </a:r>
              </a:p>
            </c:rich>
          </c:tx>
          <c:overlay val="0"/>
        </c:title>
        <c:numFmt formatCode="General" sourceLinked="1"/>
        <c:majorTickMark val="out"/>
        <c:minorTickMark val="none"/>
        <c:tickLblPos val="nextTo"/>
        <c:txPr>
          <a:bodyPr/>
          <a:lstStyle/>
          <a:p>
            <a:pPr>
              <a:defRPr lang="da-DK"/>
            </a:pPr>
            <a:endParaRPr lang="en-US"/>
          </a:p>
        </c:txPr>
        <c:crossAx val="2090070064"/>
        <c:crosses val="autoZero"/>
        <c:crossBetween val="between"/>
      </c:valAx>
    </c:plotArea>
    <c:plotVisOnly val="1"/>
    <c:dispBlanksAs val="gap"/>
    <c:showDLblsOverMax val="0"/>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'[7]Contraception modern'!$B$4</c:f>
              <c:strCache>
                <c:ptCount val="1"/>
                <c:pt idx="0">
                  <c:v>#REF!</c:v>
                </c:pt>
              </c:strCache>
            </c:strRef>
          </c:tx>
          <c:invertIfNegative val="0"/>
          <c:cat>
            <c:strRef>
              <c:f>Figure27b!$A$5:$A$46</c:f>
              <c:strCache>
                <c:ptCount val="42"/>
                <c:pt idx="0">
                  <c:v>Albania</c:v>
                </c:pt>
                <c:pt idx="1">
                  <c:v>Bosnia and Herzegovina</c:v>
                </c:pt>
                <c:pt idx="2">
                  <c:v>TFYR Macedonia</c:v>
                </c:pt>
                <c:pt idx="3">
                  <c:v>Azerbaijan</c:v>
                </c:pt>
                <c:pt idx="4">
                  <c:v>Montenegro</c:v>
                </c:pt>
                <c:pt idx="5">
                  <c:v>Serbia</c:v>
                </c:pt>
                <c:pt idx="6">
                  <c:v>Tajikistan</c:v>
                </c:pt>
                <c:pt idx="7">
                  <c:v>Armenia</c:v>
                </c:pt>
                <c:pt idx="8">
                  <c:v>Poland</c:v>
                </c:pt>
                <c:pt idx="9">
                  <c:v>Kyrgyzstan</c:v>
                </c:pt>
                <c:pt idx="10">
                  <c:v>Georgia</c:v>
                </c:pt>
                <c:pt idx="11">
                  <c:v>Bulgaria</c:v>
                </c:pt>
                <c:pt idx="12">
                  <c:v>Italy</c:v>
                </c:pt>
                <c:pt idx="13">
                  <c:v>Republic of Moldova</c:v>
                </c:pt>
                <c:pt idx="14">
                  <c:v>Greece</c:v>
                </c:pt>
                <c:pt idx="15">
                  <c:v>Malta</c:v>
                </c:pt>
                <c:pt idx="16">
                  <c:v>Turkey</c:v>
                </c:pt>
                <c:pt idx="17">
                  <c:v>Turkmenistan</c:v>
                </c:pt>
                <c:pt idx="18">
                  <c:v>Ukraine</c:v>
                </c:pt>
                <c:pt idx="19">
                  <c:v>Kazakhstan</c:v>
                </c:pt>
                <c:pt idx="20">
                  <c:v>Lithuania</c:v>
                </c:pt>
                <c:pt idx="21">
                  <c:v>Romania</c:v>
                </c:pt>
                <c:pt idx="22">
                  <c:v>Russian Federation</c:v>
                </c:pt>
                <c:pt idx="23">
                  <c:v>Latvia</c:v>
                </c:pt>
                <c:pt idx="24">
                  <c:v>Belarus</c:v>
                </c:pt>
                <c:pt idx="25">
                  <c:v>Estonia</c:v>
                </c:pt>
                <c:pt idx="26">
                  <c:v>Uzbekistan</c:v>
                </c:pt>
                <c:pt idx="27">
                  <c:v>Ireland</c:v>
                </c:pt>
                <c:pt idx="28">
                  <c:v>Germany</c:v>
                </c:pt>
                <c:pt idx="29">
                  <c:v>Spain</c:v>
                </c:pt>
                <c:pt idx="30">
                  <c:v>Slovenia</c:v>
                </c:pt>
                <c:pt idx="31">
                  <c:v>Sweden</c:v>
                </c:pt>
                <c:pt idx="32">
                  <c:v>Slovakia</c:v>
                </c:pt>
                <c:pt idx="33">
                  <c:v>Netherlands</c:v>
                </c:pt>
                <c:pt idx="34">
                  <c:v>Austria</c:v>
                </c:pt>
                <c:pt idx="35">
                  <c:v>Belgium</c:v>
                </c:pt>
                <c:pt idx="36">
                  <c:v>Hungary</c:v>
                </c:pt>
                <c:pt idx="37">
                  <c:v>France</c:v>
                </c:pt>
                <c:pt idx="38">
                  <c:v>Switzerland</c:v>
                </c:pt>
                <c:pt idx="39">
                  <c:v>Czech Republic</c:v>
                </c:pt>
                <c:pt idx="40">
                  <c:v>Norway</c:v>
                </c:pt>
                <c:pt idx="41">
                  <c:v>United Kingdom</c:v>
                </c:pt>
              </c:strCache>
            </c:strRef>
          </c:cat>
          <c:val>
            <c:numRef>
              <c:f>'[7]Contraception modern'!$B$5:$B$46</c:f>
              <c:numCache>
                <c:formatCode>General</c:formatCode>
                <c:ptCount val="42"/>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numCache>
            </c:numRef>
          </c:val>
        </c:ser>
        <c:dLbls>
          <c:showLegendKey val="0"/>
          <c:showVal val="0"/>
          <c:showCatName val="0"/>
          <c:showSerName val="0"/>
          <c:showPercent val="0"/>
          <c:showBubbleSize val="0"/>
        </c:dLbls>
        <c:gapWidth val="150"/>
        <c:axId val="2089201792"/>
        <c:axId val="2090092304"/>
      </c:barChart>
      <c:catAx>
        <c:axId val="2089201792"/>
        <c:scaling>
          <c:orientation val="minMax"/>
        </c:scaling>
        <c:delete val="0"/>
        <c:axPos val="l"/>
        <c:numFmt formatCode="General" sourceLinked="0"/>
        <c:majorTickMark val="out"/>
        <c:minorTickMark val="none"/>
        <c:tickLblPos val="nextTo"/>
        <c:txPr>
          <a:bodyPr/>
          <a:lstStyle/>
          <a:p>
            <a:pPr>
              <a:defRPr lang="da-DK"/>
            </a:pPr>
            <a:endParaRPr lang="en-US"/>
          </a:p>
        </c:txPr>
        <c:crossAx val="2090092304"/>
        <c:crosses val="autoZero"/>
        <c:auto val="1"/>
        <c:lblAlgn val="ctr"/>
        <c:lblOffset val="100"/>
        <c:noMultiLvlLbl val="0"/>
      </c:catAx>
      <c:valAx>
        <c:axId val="2090092304"/>
        <c:scaling>
          <c:orientation val="minMax"/>
        </c:scaling>
        <c:delete val="0"/>
        <c:axPos val="b"/>
        <c:majorGridlines/>
        <c:title>
          <c:tx>
            <c:rich>
              <a:bodyPr/>
              <a:lstStyle/>
              <a:p>
                <a:pPr>
                  <a:defRPr lang="da-DK"/>
                </a:pPr>
                <a:r>
                  <a:rPr lang="en-US"/>
                  <a:t>Percentage (%)</a:t>
                </a:r>
              </a:p>
            </c:rich>
          </c:tx>
          <c:overlay val="0"/>
        </c:title>
        <c:numFmt formatCode="General" sourceLinked="1"/>
        <c:majorTickMark val="out"/>
        <c:minorTickMark val="none"/>
        <c:tickLblPos val="nextTo"/>
        <c:txPr>
          <a:bodyPr/>
          <a:lstStyle/>
          <a:p>
            <a:pPr>
              <a:defRPr lang="da-DK"/>
            </a:pPr>
            <a:endParaRPr lang="en-US"/>
          </a:p>
        </c:txPr>
        <c:crossAx val="2089201792"/>
        <c:crosses val="autoZero"/>
        <c:crossBetween val="between"/>
      </c:valAx>
    </c:plotArea>
    <c:plotVisOnly val="1"/>
    <c:dispBlanksAs val="gap"/>
    <c:showDLblsOverMax val="0"/>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'[7]Contraception unmet need'!$B$4</c:f>
              <c:strCache>
                <c:ptCount val="1"/>
                <c:pt idx="0">
                  <c:v>#REF!</c:v>
                </c:pt>
              </c:strCache>
            </c:strRef>
          </c:tx>
          <c:invertIfNegative val="0"/>
          <c:cat>
            <c:strRef>
              <c:f>Figure27c!$A$5:$A$33</c:f>
              <c:strCache>
                <c:ptCount val="29"/>
                <c:pt idx="0">
                  <c:v>France</c:v>
                </c:pt>
                <c:pt idx="1">
                  <c:v>Belgium</c:v>
                </c:pt>
                <c:pt idx="2">
                  <c:v>Czech Republic</c:v>
                </c:pt>
                <c:pt idx="3">
                  <c:v>Ukraine</c:v>
                </c:pt>
                <c:pt idx="4">
                  <c:v>Turkey</c:v>
                </c:pt>
                <c:pt idx="5">
                  <c:v>Serbia</c:v>
                </c:pt>
                <c:pt idx="6">
                  <c:v>Belarus</c:v>
                </c:pt>
                <c:pt idx="7">
                  <c:v>Hungary</c:v>
                </c:pt>
                <c:pt idx="8">
                  <c:v>Russian Federation</c:v>
                </c:pt>
                <c:pt idx="9">
                  <c:v>Bosnia and Herzegovina</c:v>
                </c:pt>
                <c:pt idx="10">
                  <c:v>Slovenia</c:v>
                </c:pt>
                <c:pt idx="11">
                  <c:v>Republic of Moldova</c:v>
                </c:pt>
                <c:pt idx="12">
                  <c:v>Kazakhstan</c:v>
                </c:pt>
                <c:pt idx="13">
                  <c:v>Italy</c:v>
                </c:pt>
                <c:pt idx="14">
                  <c:v>Spain</c:v>
                </c:pt>
                <c:pt idx="15">
                  <c:v>Romania</c:v>
                </c:pt>
                <c:pt idx="16">
                  <c:v>Georgia</c:v>
                </c:pt>
                <c:pt idx="17">
                  <c:v>Albania</c:v>
                </c:pt>
                <c:pt idx="18">
                  <c:v>Turkmenistan</c:v>
                </c:pt>
                <c:pt idx="19">
                  <c:v>Armenia</c:v>
                </c:pt>
                <c:pt idx="20">
                  <c:v>Uzbekistan</c:v>
                </c:pt>
                <c:pt idx="21">
                  <c:v>Azerbaijan</c:v>
                </c:pt>
                <c:pt idx="22">
                  <c:v>State of Palestine</c:v>
                </c:pt>
                <c:pt idx="23">
                  <c:v>Latvia</c:v>
                </c:pt>
                <c:pt idx="24">
                  <c:v>MKDa</c:v>
                </c:pt>
                <c:pt idx="25">
                  <c:v>Kyrgyzstan</c:v>
                </c:pt>
                <c:pt idx="26">
                  <c:v>Lithuania</c:v>
                </c:pt>
                <c:pt idx="27">
                  <c:v>Tajikistan</c:v>
                </c:pt>
                <c:pt idx="28">
                  <c:v>Bulgaria</c:v>
                </c:pt>
              </c:strCache>
            </c:strRef>
          </c:cat>
          <c:val>
            <c:numRef>
              <c:f>'[7]Contraception unmet need'!$B$5:$B$33</c:f>
              <c:numCache>
                <c:formatCode>General</c:formatCode>
                <c:ptCount val="2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numCache>
            </c:numRef>
          </c:val>
        </c:ser>
        <c:dLbls>
          <c:showLegendKey val="0"/>
          <c:showVal val="0"/>
          <c:showCatName val="0"/>
          <c:showSerName val="0"/>
          <c:showPercent val="0"/>
          <c:showBubbleSize val="0"/>
        </c:dLbls>
        <c:gapWidth val="150"/>
        <c:axId val="2089223616"/>
        <c:axId val="2089226720"/>
      </c:barChart>
      <c:catAx>
        <c:axId val="2089223616"/>
        <c:scaling>
          <c:orientation val="minMax"/>
        </c:scaling>
        <c:delete val="0"/>
        <c:axPos val="l"/>
        <c:numFmt formatCode="General" sourceLinked="0"/>
        <c:majorTickMark val="out"/>
        <c:minorTickMark val="none"/>
        <c:tickLblPos val="nextTo"/>
        <c:txPr>
          <a:bodyPr/>
          <a:lstStyle/>
          <a:p>
            <a:pPr>
              <a:defRPr lang="da-DK"/>
            </a:pPr>
            <a:endParaRPr lang="en-US"/>
          </a:p>
        </c:txPr>
        <c:crossAx val="2089226720"/>
        <c:crosses val="autoZero"/>
        <c:auto val="1"/>
        <c:lblAlgn val="ctr"/>
        <c:lblOffset val="100"/>
        <c:noMultiLvlLbl val="0"/>
      </c:catAx>
      <c:valAx>
        <c:axId val="2089226720"/>
        <c:scaling>
          <c:orientation val="minMax"/>
        </c:scaling>
        <c:delete val="0"/>
        <c:axPos val="b"/>
        <c:majorGridlines/>
        <c:title>
          <c:tx>
            <c:rich>
              <a:bodyPr/>
              <a:lstStyle/>
              <a:p>
                <a:pPr>
                  <a:defRPr lang="da-DK"/>
                </a:pPr>
                <a:r>
                  <a:rPr lang="en-US"/>
                  <a:t>Percentage (%)</a:t>
                </a:r>
              </a:p>
            </c:rich>
          </c:tx>
          <c:overlay val="0"/>
        </c:title>
        <c:numFmt formatCode="General" sourceLinked="1"/>
        <c:majorTickMark val="out"/>
        <c:minorTickMark val="none"/>
        <c:tickLblPos val="nextTo"/>
        <c:txPr>
          <a:bodyPr/>
          <a:lstStyle/>
          <a:p>
            <a:pPr>
              <a:defRPr lang="da-DK"/>
            </a:pPr>
            <a:endParaRPr lang="en-US"/>
          </a:p>
        </c:txPr>
        <c:crossAx val="2089223616"/>
        <c:crosses val="autoZero"/>
        <c:crossBetween val="between"/>
      </c:valAx>
    </c:plotArea>
    <c:plotVisOnly val="1"/>
    <c:dispBlanksAs val="gap"/>
    <c:showDLblsOverMax val="0"/>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1990</c:v>
          </c:tx>
          <c:invertIfNegative val="0"/>
          <c:cat>
            <c:strRef>
              <c:f>Figure28!$A$7:$A$56</c:f>
              <c:strCache>
                <c:ptCount val="50"/>
                <c:pt idx="0">
                  <c:v>Sweden</c:v>
                </c:pt>
                <c:pt idx="1">
                  <c:v>Finland</c:v>
                </c:pt>
                <c:pt idx="2">
                  <c:v>Greece</c:v>
                </c:pt>
                <c:pt idx="3">
                  <c:v>Ireland</c:v>
                </c:pt>
                <c:pt idx="4">
                  <c:v>Luxembourg</c:v>
                </c:pt>
                <c:pt idx="5">
                  <c:v>Spain</c:v>
                </c:pt>
                <c:pt idx="6">
                  <c:v>Iceland</c:v>
                </c:pt>
                <c:pt idx="7">
                  <c:v>Switzerland</c:v>
                </c:pt>
                <c:pt idx="8">
                  <c:v>Montenegro</c:v>
                </c:pt>
                <c:pt idx="9">
                  <c:v>Croatia</c:v>
                </c:pt>
                <c:pt idx="10">
                  <c:v>Norway</c:v>
                </c:pt>
                <c:pt idx="11">
                  <c:v>Denmark</c:v>
                </c:pt>
                <c:pt idx="12">
                  <c:v>Austria</c:v>
                </c:pt>
                <c:pt idx="13">
                  <c:v>Italy</c:v>
                </c:pt>
                <c:pt idx="14">
                  <c:v>Belgium</c:v>
                </c:pt>
                <c:pt idx="15">
                  <c:v>United Kingdom</c:v>
                </c:pt>
                <c:pt idx="16">
                  <c:v>Netherlands</c:v>
                </c:pt>
                <c:pt idx="17">
                  <c:v>Slovenia</c:v>
                </c:pt>
                <c:pt idx="18">
                  <c:v>Israel</c:v>
                </c:pt>
                <c:pt idx="19">
                  <c:v>France</c:v>
                </c:pt>
                <c:pt idx="20">
                  <c:v>Malta</c:v>
                </c:pt>
                <c:pt idx="21">
                  <c:v>Germany</c:v>
                </c:pt>
                <c:pt idx="22">
                  <c:v>Czech Republic</c:v>
                </c:pt>
                <c:pt idx="23">
                  <c:v>Slovakia</c:v>
                </c:pt>
                <c:pt idx="24">
                  <c:v>TFYRMacedonia</c:v>
                </c:pt>
                <c:pt idx="25">
                  <c:v>Portugal</c:v>
                </c:pt>
                <c:pt idx="26">
                  <c:v>Poland</c:v>
                </c:pt>
                <c:pt idx="27">
                  <c:v>Cyprus</c:v>
                </c:pt>
                <c:pt idx="28">
                  <c:v>Serbia</c:v>
                </c:pt>
                <c:pt idx="29">
                  <c:v>Bosnia and Herzegovina</c:v>
                </c:pt>
                <c:pt idx="30">
                  <c:v>Hungary</c:v>
                </c:pt>
                <c:pt idx="31">
                  <c:v>Bulgaria</c:v>
                </c:pt>
                <c:pt idx="32">
                  <c:v>Albania</c:v>
                </c:pt>
                <c:pt idx="33">
                  <c:v>Lithuania</c:v>
                </c:pt>
                <c:pt idx="34">
                  <c:v>Belarus</c:v>
                </c:pt>
                <c:pt idx="35">
                  <c:v>Armenia</c:v>
                </c:pt>
                <c:pt idx="36">
                  <c:v>Estonia</c:v>
                </c:pt>
                <c:pt idx="37">
                  <c:v>Turkey</c:v>
                </c:pt>
                <c:pt idx="38">
                  <c:v>Ukraine</c:v>
                </c:pt>
                <c:pt idx="39">
                  <c:v>Georgia</c:v>
                </c:pt>
                <c:pt idx="40">
                  <c:v>Latvia</c:v>
                </c:pt>
                <c:pt idx="41">
                  <c:v>Azerbaijan</c:v>
                </c:pt>
                <c:pt idx="42">
                  <c:v>Republic of Moldova</c:v>
                </c:pt>
                <c:pt idx="43">
                  <c:v>Uzbekistan</c:v>
                </c:pt>
                <c:pt idx="44">
                  <c:v>Turkmenistan</c:v>
                </c:pt>
                <c:pt idx="45">
                  <c:v>Tajikistan</c:v>
                </c:pt>
                <c:pt idx="46">
                  <c:v>Russian Federation</c:v>
                </c:pt>
                <c:pt idx="47">
                  <c:v>Kyrgyzstan</c:v>
                </c:pt>
                <c:pt idx="48">
                  <c:v>Kazakhstan</c:v>
                </c:pt>
                <c:pt idx="49">
                  <c:v>Romania</c:v>
                </c:pt>
              </c:strCache>
            </c:strRef>
          </c:cat>
          <c:val>
            <c:numRef>
              <c:f>'[7]Maternal mortality MDG'!$B$63:$B$112</c:f>
              <c:numCache>
                <c:formatCode>General</c:formatCode>
                <c:ptCount val="50"/>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numCache>
            </c:numRef>
          </c:val>
        </c:ser>
        <c:ser>
          <c:idx val="1"/>
          <c:order val="1"/>
          <c:tx>
            <c:v>2000</c:v>
          </c:tx>
          <c:invertIfNegative val="0"/>
          <c:cat>
            <c:strRef>
              <c:f>Figure28!$A$7:$A$56</c:f>
              <c:strCache>
                <c:ptCount val="50"/>
                <c:pt idx="0">
                  <c:v>Sweden</c:v>
                </c:pt>
                <c:pt idx="1">
                  <c:v>Finland</c:v>
                </c:pt>
                <c:pt idx="2">
                  <c:v>Greece</c:v>
                </c:pt>
                <c:pt idx="3">
                  <c:v>Ireland</c:v>
                </c:pt>
                <c:pt idx="4">
                  <c:v>Luxembourg</c:v>
                </c:pt>
                <c:pt idx="5">
                  <c:v>Spain</c:v>
                </c:pt>
                <c:pt idx="6">
                  <c:v>Iceland</c:v>
                </c:pt>
                <c:pt idx="7">
                  <c:v>Switzerland</c:v>
                </c:pt>
                <c:pt idx="8">
                  <c:v>Montenegro</c:v>
                </c:pt>
                <c:pt idx="9">
                  <c:v>Croatia</c:v>
                </c:pt>
                <c:pt idx="10">
                  <c:v>Norway</c:v>
                </c:pt>
                <c:pt idx="11">
                  <c:v>Denmark</c:v>
                </c:pt>
                <c:pt idx="12">
                  <c:v>Austria</c:v>
                </c:pt>
                <c:pt idx="13">
                  <c:v>Italy</c:v>
                </c:pt>
                <c:pt idx="14">
                  <c:v>Belgium</c:v>
                </c:pt>
                <c:pt idx="15">
                  <c:v>United Kingdom</c:v>
                </c:pt>
                <c:pt idx="16">
                  <c:v>Netherlands</c:v>
                </c:pt>
                <c:pt idx="17">
                  <c:v>Slovenia</c:v>
                </c:pt>
                <c:pt idx="18">
                  <c:v>Israel</c:v>
                </c:pt>
                <c:pt idx="19">
                  <c:v>France</c:v>
                </c:pt>
                <c:pt idx="20">
                  <c:v>Malta</c:v>
                </c:pt>
                <c:pt idx="21">
                  <c:v>Germany</c:v>
                </c:pt>
                <c:pt idx="22">
                  <c:v>Czech Republic</c:v>
                </c:pt>
                <c:pt idx="23">
                  <c:v>Slovakia</c:v>
                </c:pt>
                <c:pt idx="24">
                  <c:v>TFYRMacedonia</c:v>
                </c:pt>
                <c:pt idx="25">
                  <c:v>Portugal</c:v>
                </c:pt>
                <c:pt idx="26">
                  <c:v>Poland</c:v>
                </c:pt>
                <c:pt idx="27">
                  <c:v>Cyprus</c:v>
                </c:pt>
                <c:pt idx="28">
                  <c:v>Serbia</c:v>
                </c:pt>
                <c:pt idx="29">
                  <c:v>Bosnia and Herzegovina</c:v>
                </c:pt>
                <c:pt idx="30">
                  <c:v>Hungary</c:v>
                </c:pt>
                <c:pt idx="31">
                  <c:v>Bulgaria</c:v>
                </c:pt>
                <c:pt idx="32">
                  <c:v>Albania</c:v>
                </c:pt>
                <c:pt idx="33">
                  <c:v>Lithuania</c:v>
                </c:pt>
                <c:pt idx="34">
                  <c:v>Belarus</c:v>
                </c:pt>
                <c:pt idx="35">
                  <c:v>Armenia</c:v>
                </c:pt>
                <c:pt idx="36">
                  <c:v>Estonia</c:v>
                </c:pt>
                <c:pt idx="37">
                  <c:v>Turkey</c:v>
                </c:pt>
                <c:pt idx="38">
                  <c:v>Ukraine</c:v>
                </c:pt>
                <c:pt idx="39">
                  <c:v>Georgia</c:v>
                </c:pt>
                <c:pt idx="40">
                  <c:v>Latvia</c:v>
                </c:pt>
                <c:pt idx="41">
                  <c:v>Azerbaijan</c:v>
                </c:pt>
                <c:pt idx="42">
                  <c:v>Republic of Moldova</c:v>
                </c:pt>
                <c:pt idx="43">
                  <c:v>Uzbekistan</c:v>
                </c:pt>
                <c:pt idx="44">
                  <c:v>Turkmenistan</c:v>
                </c:pt>
                <c:pt idx="45">
                  <c:v>Tajikistan</c:v>
                </c:pt>
                <c:pt idx="46">
                  <c:v>Russian Federation</c:v>
                </c:pt>
                <c:pt idx="47">
                  <c:v>Kyrgyzstan</c:v>
                </c:pt>
                <c:pt idx="48">
                  <c:v>Kazakhstan</c:v>
                </c:pt>
                <c:pt idx="49">
                  <c:v>Romania</c:v>
                </c:pt>
              </c:strCache>
            </c:strRef>
          </c:cat>
          <c:val>
            <c:numRef>
              <c:f>'[7]Maternal mortality MDG'!$F$63:$F$112</c:f>
              <c:numCache>
                <c:formatCode>General</c:formatCode>
                <c:ptCount val="50"/>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numCache>
            </c:numRef>
          </c:val>
        </c:ser>
        <c:ser>
          <c:idx val="2"/>
          <c:order val="2"/>
          <c:tx>
            <c:v>2013</c:v>
          </c:tx>
          <c:invertIfNegative val="0"/>
          <c:cat>
            <c:strRef>
              <c:f>Figure28!$A$7:$A$56</c:f>
              <c:strCache>
                <c:ptCount val="50"/>
                <c:pt idx="0">
                  <c:v>Sweden</c:v>
                </c:pt>
                <c:pt idx="1">
                  <c:v>Finland</c:v>
                </c:pt>
                <c:pt idx="2">
                  <c:v>Greece</c:v>
                </c:pt>
                <c:pt idx="3">
                  <c:v>Ireland</c:v>
                </c:pt>
                <c:pt idx="4">
                  <c:v>Luxembourg</c:v>
                </c:pt>
                <c:pt idx="5">
                  <c:v>Spain</c:v>
                </c:pt>
                <c:pt idx="6">
                  <c:v>Iceland</c:v>
                </c:pt>
                <c:pt idx="7">
                  <c:v>Switzerland</c:v>
                </c:pt>
                <c:pt idx="8">
                  <c:v>Montenegro</c:v>
                </c:pt>
                <c:pt idx="9">
                  <c:v>Croatia</c:v>
                </c:pt>
                <c:pt idx="10">
                  <c:v>Norway</c:v>
                </c:pt>
                <c:pt idx="11">
                  <c:v>Denmark</c:v>
                </c:pt>
                <c:pt idx="12">
                  <c:v>Austria</c:v>
                </c:pt>
                <c:pt idx="13">
                  <c:v>Italy</c:v>
                </c:pt>
                <c:pt idx="14">
                  <c:v>Belgium</c:v>
                </c:pt>
                <c:pt idx="15">
                  <c:v>United Kingdom</c:v>
                </c:pt>
                <c:pt idx="16">
                  <c:v>Netherlands</c:v>
                </c:pt>
                <c:pt idx="17">
                  <c:v>Slovenia</c:v>
                </c:pt>
                <c:pt idx="18">
                  <c:v>Israel</c:v>
                </c:pt>
                <c:pt idx="19">
                  <c:v>France</c:v>
                </c:pt>
                <c:pt idx="20">
                  <c:v>Malta</c:v>
                </c:pt>
                <c:pt idx="21">
                  <c:v>Germany</c:v>
                </c:pt>
                <c:pt idx="22">
                  <c:v>Czech Republic</c:v>
                </c:pt>
                <c:pt idx="23">
                  <c:v>Slovakia</c:v>
                </c:pt>
                <c:pt idx="24">
                  <c:v>TFYRMacedonia</c:v>
                </c:pt>
                <c:pt idx="25">
                  <c:v>Portugal</c:v>
                </c:pt>
                <c:pt idx="26">
                  <c:v>Poland</c:v>
                </c:pt>
                <c:pt idx="27">
                  <c:v>Cyprus</c:v>
                </c:pt>
                <c:pt idx="28">
                  <c:v>Serbia</c:v>
                </c:pt>
                <c:pt idx="29">
                  <c:v>Bosnia and Herzegovina</c:v>
                </c:pt>
                <c:pt idx="30">
                  <c:v>Hungary</c:v>
                </c:pt>
                <c:pt idx="31">
                  <c:v>Bulgaria</c:v>
                </c:pt>
                <c:pt idx="32">
                  <c:v>Albania</c:v>
                </c:pt>
                <c:pt idx="33">
                  <c:v>Lithuania</c:v>
                </c:pt>
                <c:pt idx="34">
                  <c:v>Belarus</c:v>
                </c:pt>
                <c:pt idx="35">
                  <c:v>Armenia</c:v>
                </c:pt>
                <c:pt idx="36">
                  <c:v>Estonia</c:v>
                </c:pt>
                <c:pt idx="37">
                  <c:v>Turkey</c:v>
                </c:pt>
                <c:pt idx="38">
                  <c:v>Ukraine</c:v>
                </c:pt>
                <c:pt idx="39">
                  <c:v>Georgia</c:v>
                </c:pt>
                <c:pt idx="40">
                  <c:v>Latvia</c:v>
                </c:pt>
                <c:pt idx="41">
                  <c:v>Azerbaijan</c:v>
                </c:pt>
                <c:pt idx="42">
                  <c:v>Republic of Moldova</c:v>
                </c:pt>
                <c:pt idx="43">
                  <c:v>Uzbekistan</c:v>
                </c:pt>
                <c:pt idx="44">
                  <c:v>Turkmenistan</c:v>
                </c:pt>
                <c:pt idx="45">
                  <c:v>Tajikistan</c:v>
                </c:pt>
                <c:pt idx="46">
                  <c:v>Russian Federation</c:v>
                </c:pt>
                <c:pt idx="47">
                  <c:v>Kyrgyzstan</c:v>
                </c:pt>
                <c:pt idx="48">
                  <c:v>Kazakhstan</c:v>
                </c:pt>
                <c:pt idx="49">
                  <c:v>Romania</c:v>
                </c:pt>
              </c:strCache>
            </c:strRef>
          </c:cat>
          <c:val>
            <c:numRef>
              <c:f>'[7]Maternal mortality MDG'!$L$63:$L$112</c:f>
              <c:numCache>
                <c:formatCode>General</c:formatCode>
                <c:ptCount val="50"/>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numCache>
            </c:numRef>
          </c:val>
        </c:ser>
        <c:dLbls>
          <c:showLegendKey val="0"/>
          <c:showVal val="0"/>
          <c:showCatName val="0"/>
          <c:showSerName val="0"/>
          <c:showPercent val="0"/>
          <c:showBubbleSize val="0"/>
        </c:dLbls>
        <c:gapWidth val="150"/>
        <c:axId val="2089264416"/>
        <c:axId val="2090131200"/>
      </c:barChart>
      <c:catAx>
        <c:axId val="2089264416"/>
        <c:scaling>
          <c:orientation val="minMax"/>
        </c:scaling>
        <c:delete val="0"/>
        <c:axPos val="l"/>
        <c:numFmt formatCode="General" sourceLinked="0"/>
        <c:majorTickMark val="out"/>
        <c:minorTickMark val="none"/>
        <c:tickLblPos val="nextTo"/>
        <c:txPr>
          <a:bodyPr/>
          <a:lstStyle/>
          <a:p>
            <a:pPr>
              <a:defRPr lang="da-DK"/>
            </a:pPr>
            <a:endParaRPr lang="en-US"/>
          </a:p>
        </c:txPr>
        <c:crossAx val="2090131200"/>
        <c:crosses val="autoZero"/>
        <c:auto val="1"/>
        <c:lblAlgn val="ctr"/>
        <c:lblOffset val="100"/>
        <c:noMultiLvlLbl val="0"/>
      </c:catAx>
      <c:valAx>
        <c:axId val="2090131200"/>
        <c:scaling>
          <c:orientation val="minMax"/>
          <c:max val="180.0"/>
          <c:min val="0.0"/>
        </c:scaling>
        <c:delete val="0"/>
        <c:axPos val="b"/>
        <c:majorGridlines/>
        <c:title>
          <c:tx>
            <c:rich>
              <a:bodyPr/>
              <a:lstStyle/>
              <a:p>
                <a:pPr>
                  <a:defRPr lang="da-DK"/>
                </a:pPr>
                <a:r>
                  <a:rPr lang="da-DK"/>
                  <a:t>MMR</a:t>
                </a:r>
                <a:r>
                  <a:rPr lang="da-DK" baseline="0"/>
                  <a:t> per 100,000 live briths </a:t>
                </a:r>
                <a:endParaRPr lang="da-DK"/>
              </a:p>
            </c:rich>
          </c:tx>
          <c:overlay val="0"/>
        </c:title>
        <c:numFmt formatCode="General" sourceLinked="1"/>
        <c:majorTickMark val="out"/>
        <c:minorTickMark val="none"/>
        <c:tickLblPos val="nextTo"/>
        <c:txPr>
          <a:bodyPr/>
          <a:lstStyle/>
          <a:p>
            <a:pPr>
              <a:defRPr lang="da-DK"/>
            </a:pPr>
            <a:endParaRPr lang="en-US"/>
          </a:p>
        </c:txPr>
        <c:crossAx val="2089264416"/>
        <c:crosses val="autoZero"/>
        <c:crossBetween val="between"/>
      </c:valAx>
    </c:plotArea>
    <c:legend>
      <c:legendPos val="r"/>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invertIfNegative val="0"/>
          <c:cat>
            <c:strRef>
              <c:f>Figure29!$A$5:$A$54</c:f>
              <c:strCache>
                <c:ptCount val="50"/>
                <c:pt idx="0">
                  <c:v>Belarus</c:v>
                </c:pt>
                <c:pt idx="1">
                  <c:v>Israel</c:v>
                </c:pt>
                <c:pt idx="2">
                  <c:v>Poland</c:v>
                </c:pt>
                <c:pt idx="3">
                  <c:v>Austria</c:v>
                </c:pt>
                <c:pt idx="4">
                  <c:v>Sweden</c:v>
                </c:pt>
                <c:pt idx="5">
                  <c:v>Finland</c:v>
                </c:pt>
                <c:pt idx="6">
                  <c:v>Spain</c:v>
                </c:pt>
                <c:pt idx="7">
                  <c:v>Iceland</c:v>
                </c:pt>
                <c:pt idx="8">
                  <c:v>Norway</c:v>
                </c:pt>
                <c:pt idx="9">
                  <c:v>Italy</c:v>
                </c:pt>
                <c:pt idx="10">
                  <c:v>Greece</c:v>
                </c:pt>
                <c:pt idx="11">
                  <c:v>Denmark</c:v>
                </c:pt>
                <c:pt idx="12">
                  <c:v>Czech Republic</c:v>
                </c:pt>
                <c:pt idx="13">
                  <c:v>Bulgaria</c:v>
                </c:pt>
                <c:pt idx="14">
                  <c:v>Switzerland</c:v>
                </c:pt>
                <c:pt idx="15">
                  <c:v>Belgium</c:v>
                </c:pt>
                <c:pt idx="16">
                  <c:v>Netherlands</c:v>
                </c:pt>
                <c:pt idx="17">
                  <c:v>Montenegro</c:v>
                </c:pt>
                <c:pt idx="18">
                  <c:v>Slovenia</c:v>
                </c:pt>
                <c:pt idx="19">
                  <c:v>Germany</c:v>
                </c:pt>
                <c:pt idx="20">
                  <c:v>Slovakia</c:v>
                </c:pt>
                <c:pt idx="21">
                  <c:v>TFYRMacedonia</c:v>
                </c:pt>
                <c:pt idx="22">
                  <c:v>United Kingdom</c:v>
                </c:pt>
                <c:pt idx="23">
                  <c:v>Portugal</c:v>
                </c:pt>
                <c:pt idx="24">
                  <c:v>Bosnia and Herzegovina</c:v>
                </c:pt>
                <c:pt idx="25">
                  <c:v>Ireland</c:v>
                </c:pt>
                <c:pt idx="26">
                  <c:v>France</c:v>
                </c:pt>
                <c:pt idx="27">
                  <c:v>Malta</c:v>
                </c:pt>
                <c:pt idx="28">
                  <c:v>Cyprus</c:v>
                </c:pt>
                <c:pt idx="29">
                  <c:v>Luxembourg</c:v>
                </c:pt>
                <c:pt idx="30">
                  <c:v>Lithuania</c:v>
                </c:pt>
                <c:pt idx="31">
                  <c:v>Estonia</c:v>
                </c:pt>
                <c:pt idx="32">
                  <c:v>Croatia</c:v>
                </c:pt>
                <c:pt idx="33">
                  <c:v>Latvia</c:v>
                </c:pt>
                <c:pt idx="34">
                  <c:v>Hungary</c:v>
                </c:pt>
                <c:pt idx="35">
                  <c:v>Serbia</c:v>
                </c:pt>
                <c:pt idx="36">
                  <c:v>Turkey</c:v>
                </c:pt>
                <c:pt idx="37">
                  <c:v>Albania</c:v>
                </c:pt>
                <c:pt idx="38">
                  <c:v>Republic of Moldova</c:v>
                </c:pt>
                <c:pt idx="39">
                  <c:v>Ukraine</c:v>
                </c:pt>
                <c:pt idx="40">
                  <c:v>Russian Federation</c:v>
                </c:pt>
                <c:pt idx="41">
                  <c:v>Azerbaijan</c:v>
                </c:pt>
                <c:pt idx="42">
                  <c:v>Kazakhstan</c:v>
                </c:pt>
                <c:pt idx="43">
                  <c:v>Armenia</c:v>
                </c:pt>
                <c:pt idx="44">
                  <c:v>Romania</c:v>
                </c:pt>
                <c:pt idx="45">
                  <c:v>Uzbekistan</c:v>
                </c:pt>
                <c:pt idx="46">
                  <c:v>Georgia</c:v>
                </c:pt>
                <c:pt idx="47">
                  <c:v>Tajikistan</c:v>
                </c:pt>
                <c:pt idx="48">
                  <c:v>Turkmenistan</c:v>
                </c:pt>
                <c:pt idx="49">
                  <c:v>Kyrgyzstan</c:v>
                </c:pt>
              </c:strCache>
            </c:strRef>
          </c:cat>
          <c:val>
            <c:numRef>
              <c:f>'[7]Maternal mortality MDG'!$L$5:$L$54</c:f>
              <c:numCache>
                <c:formatCode>General</c:formatCode>
                <c:ptCount val="50"/>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numCache>
            </c:numRef>
          </c:val>
        </c:ser>
        <c:dLbls>
          <c:showLegendKey val="0"/>
          <c:showVal val="0"/>
          <c:showCatName val="0"/>
          <c:showSerName val="0"/>
          <c:showPercent val="0"/>
          <c:showBubbleSize val="0"/>
        </c:dLbls>
        <c:gapWidth val="150"/>
        <c:axId val="2089276736"/>
        <c:axId val="2089279952"/>
      </c:barChart>
      <c:catAx>
        <c:axId val="2089276736"/>
        <c:scaling>
          <c:orientation val="minMax"/>
        </c:scaling>
        <c:delete val="0"/>
        <c:axPos val="l"/>
        <c:numFmt formatCode="General" sourceLinked="0"/>
        <c:majorTickMark val="out"/>
        <c:minorTickMark val="none"/>
        <c:tickLblPos val="nextTo"/>
        <c:txPr>
          <a:bodyPr/>
          <a:lstStyle/>
          <a:p>
            <a:pPr>
              <a:defRPr lang="da-DK"/>
            </a:pPr>
            <a:endParaRPr lang="en-US"/>
          </a:p>
        </c:txPr>
        <c:crossAx val="2089279952"/>
        <c:crosses val="autoZero"/>
        <c:auto val="1"/>
        <c:lblAlgn val="ctr"/>
        <c:lblOffset val="100"/>
        <c:noMultiLvlLbl val="0"/>
      </c:catAx>
      <c:valAx>
        <c:axId val="2089279952"/>
        <c:scaling>
          <c:orientation val="minMax"/>
        </c:scaling>
        <c:delete val="0"/>
        <c:axPos val="b"/>
        <c:majorGridlines/>
        <c:title>
          <c:tx>
            <c:rich>
              <a:bodyPr/>
              <a:lstStyle/>
              <a:p>
                <a:pPr>
                  <a:defRPr lang="da-DK"/>
                </a:pPr>
                <a:r>
                  <a:rPr lang="en-US" sz="1000" b="1" i="0" u="none" strike="noStrike" baseline="0">
                    <a:effectLst/>
                  </a:rPr>
                  <a:t>Maternal mortality ratio per 100,000 live births</a:t>
                </a:r>
                <a:endParaRPr lang="en-US"/>
              </a:p>
            </c:rich>
          </c:tx>
          <c:overlay val="0"/>
        </c:title>
        <c:numFmt formatCode="General" sourceLinked="1"/>
        <c:majorTickMark val="out"/>
        <c:minorTickMark val="none"/>
        <c:tickLblPos val="nextTo"/>
        <c:txPr>
          <a:bodyPr/>
          <a:lstStyle/>
          <a:p>
            <a:pPr>
              <a:defRPr lang="da-DK"/>
            </a:pPr>
            <a:endParaRPr lang="en-US"/>
          </a:p>
        </c:txPr>
        <c:crossAx val="2089276736"/>
        <c:crosses val="autoZero"/>
        <c:crossBetween val="between"/>
      </c:valAx>
    </c:plotArea>
    <c:plotVisOnly val="1"/>
    <c:dispBlanksAs val="gap"/>
    <c:showDLblsOverMax val="0"/>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da-DK"/>
            </a:pPr>
            <a:r>
              <a:rPr lang="en-US" sz="1600" b="1" i="0" baseline="0">
                <a:effectLst/>
              </a:rPr>
              <a:t>Maternal mortality ratio (2010) vs. female population with at least some secondary education (2005-2012)</a:t>
            </a:r>
            <a:endParaRPr lang="en-US" sz="1600">
              <a:effectLst/>
            </a:endParaRPr>
          </a:p>
        </c:rich>
      </c:tx>
      <c:overlay val="0"/>
    </c:title>
    <c:autoTitleDeleted val="0"/>
    <c:plotArea>
      <c:layout/>
      <c:scatterChart>
        <c:scatterStyle val="lineMarker"/>
        <c:varyColors val="0"/>
        <c:ser>
          <c:idx val="0"/>
          <c:order val="0"/>
          <c:tx>
            <c:v>European Region countries</c:v>
          </c:tx>
          <c:spPr>
            <a:ln w="28575">
              <a:noFill/>
            </a:ln>
          </c:spPr>
          <c:marker>
            <c:spPr>
              <a:solidFill>
                <a:schemeClr val="accent2"/>
              </a:solidFill>
            </c:spPr>
          </c:marker>
          <c:dLbls>
            <c:dLbl>
              <c:idx val="0"/>
              <c:tx>
                <c:rich>
                  <a:bodyPr/>
                  <a:lstStyle/>
                  <a:p>
                    <a:r>
                      <a:rPr lang="en-US"/>
                      <a:t>Austria</a:t>
                    </a:r>
                  </a:p>
                </c:rich>
              </c:tx>
              <c:showLegendKey val="0"/>
              <c:showVal val="1"/>
              <c:showCatName val="0"/>
              <c:showSerName val="0"/>
              <c:showPercent val="0"/>
              <c:showBubbleSize val="0"/>
              <c:extLst>
                <c:ext xmlns:c15="http://schemas.microsoft.com/office/drawing/2012/chart" uri="{CE6537A1-D6FC-4f65-9D91-7224C49458BB}"/>
              </c:extLst>
            </c:dLbl>
            <c:dLbl>
              <c:idx val="1"/>
              <c:layout>
                <c:manualLayout>
                  <c:x val="1.342707541274E-17"/>
                  <c:y val="-0.00786163619343785"/>
                </c:manualLayout>
              </c:layout>
              <c:tx>
                <c:rich>
                  <a:bodyPr/>
                  <a:lstStyle/>
                  <a:p>
                    <a:r>
                      <a:rPr lang="en-US"/>
                      <a:t>Estonia</a:t>
                    </a:r>
                  </a:p>
                </c:rich>
              </c:tx>
              <c:showLegendKey val="0"/>
              <c:showVal val="1"/>
              <c:showCatName val="0"/>
              <c:showSerName val="0"/>
              <c:showPercent val="0"/>
              <c:showBubbleSize val="0"/>
              <c:extLst>
                <c:ext xmlns:c15="http://schemas.microsoft.com/office/drawing/2012/chart" uri="{CE6537A1-D6FC-4f65-9D91-7224C49458BB}"/>
              </c:extLst>
            </c:dLbl>
            <c:dLbl>
              <c:idx val="2"/>
              <c:layout>
                <c:manualLayout>
                  <c:x val="-0.0439436635313266"/>
                  <c:y val="0.0141509451481881"/>
                </c:manualLayout>
              </c:layout>
              <c:tx>
                <c:rich>
                  <a:bodyPr/>
                  <a:lstStyle/>
                  <a:p>
                    <a:r>
                      <a:rPr lang="en-US"/>
                      <a:t>Finland</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Luxembourg</a:t>
                    </a:r>
                  </a:p>
                </c:rich>
              </c:tx>
              <c:showLegendKey val="0"/>
              <c:showVal val="1"/>
              <c:showCatName val="0"/>
              <c:showSerName val="0"/>
              <c:showPercent val="0"/>
              <c:showBubbleSize val="0"/>
              <c:extLst>
                <c:ext xmlns:c15="http://schemas.microsoft.com/office/drawing/2012/chart" uri="{CE6537A1-D6FC-4f65-9D91-7224C49458BB}"/>
              </c:extLst>
            </c:dLbl>
            <c:dLbl>
              <c:idx val="4"/>
              <c:layout>
                <c:manualLayout>
                  <c:x val="0.0322253532563062"/>
                  <c:y val="-0.0141509451481881"/>
                </c:manualLayout>
              </c:layout>
              <c:tx>
                <c:rich>
                  <a:bodyPr/>
                  <a:lstStyle/>
                  <a:p>
                    <a:r>
                      <a:rPr lang="en-US"/>
                      <a:t>CZE</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GBR</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Kazakhstan</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Slovakia</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Latvia</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Hungary</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Norway</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Germany</a:t>
                    </a:r>
                  </a:p>
                </c:rich>
              </c:tx>
              <c:showLegendKey val="0"/>
              <c:showVal val="1"/>
              <c:showCatName val="0"/>
              <c:showSerName val="0"/>
              <c:showPercent val="0"/>
              <c:showBubbleSize val="0"/>
              <c:extLst>
                <c:ext xmlns:c15="http://schemas.microsoft.com/office/drawing/2012/chart" uri="{CE6537A1-D6FC-4f65-9D91-7224C49458BB}"/>
              </c:extLst>
            </c:dLbl>
            <c:dLbl>
              <c:idx val="12"/>
              <c:layout>
                <c:manualLayout>
                  <c:x val="0.0102535214906429"/>
                  <c:y val="0.0"/>
                </c:manualLayout>
              </c:layout>
              <c:tx>
                <c:rich>
                  <a:bodyPr/>
                  <a:lstStyle/>
                  <a:p>
                    <a:r>
                      <a:rPr lang="en-US" baseline="0"/>
                      <a:t>      </a:t>
                    </a:r>
                    <a:r>
                      <a:rPr lang="en-US"/>
                      <a:t>SVN</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DNK</a:t>
                    </a:r>
                  </a:p>
                </c:rich>
              </c:tx>
              <c:showLegendKey val="0"/>
              <c:showVal val="1"/>
              <c:showCatName val="0"/>
              <c:showSerName val="0"/>
              <c:showPercent val="0"/>
              <c:showBubbleSize val="0"/>
              <c:extLst>
                <c:ext xmlns:c15="http://schemas.microsoft.com/office/drawing/2012/chart" uri="{CE6537A1-D6FC-4f65-9D91-7224C49458BB}"/>
              </c:extLst>
            </c:dLbl>
            <c:dLbl>
              <c:idx val="14"/>
              <c:layout>
                <c:manualLayout>
                  <c:x val="-0.00146478878437755"/>
                  <c:y val="0.0141509451481881"/>
                </c:manualLayout>
              </c:layout>
              <c:tx>
                <c:rich>
                  <a:bodyPr/>
                  <a:lstStyle/>
                  <a:p>
                    <a:r>
                      <a:rPr lang="en-US"/>
                      <a:t>Switzerland</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Kyrgyzstan</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Armenia</a:t>
                    </a:r>
                  </a:p>
                </c:rich>
              </c:tx>
              <c:showLegendKey val="0"/>
              <c:showVal val="1"/>
              <c:showCatName val="0"/>
              <c:showSerName val="0"/>
              <c:showPercent val="0"/>
              <c:showBubbleSize val="0"/>
              <c:extLst>
                <c:ext xmlns:c15="http://schemas.microsoft.com/office/drawing/2012/chart" uri="{CE6537A1-D6FC-4f65-9D91-7224C49458BB}"/>
              </c:extLst>
            </c:dLbl>
            <c:dLbl>
              <c:idx val="17"/>
              <c:layout>
                <c:manualLayout>
                  <c:x val="0.00439436635313267"/>
                  <c:y val="0.0"/>
                </c:manualLayout>
              </c:layout>
              <c:tx>
                <c:rich>
                  <a:bodyPr/>
                  <a:lstStyle/>
                  <a:p>
                    <a:r>
                      <a:rPr lang="en-US"/>
                      <a:t>    AZE</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MDA</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Bulgaria</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Ukraine</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Iceland</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Tajikistan</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Russian Federation</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Lithuania</a:t>
                    </a:r>
                  </a:p>
                </c:rich>
              </c:tx>
              <c:showLegendKey val="0"/>
              <c:showVal val="1"/>
              <c:showCatName val="0"/>
              <c:showSerName val="0"/>
              <c:showPercent val="0"/>
              <c:showBubbleSize val="0"/>
              <c:extLst>
                <c:ext xmlns:c15="http://schemas.microsoft.com/office/drawing/2012/chart" uri="{CE6537A1-D6FC-4f65-9D91-7224C49458BB}"/>
              </c:extLst>
            </c:dLbl>
            <c:dLbl>
              <c:idx val="25"/>
              <c:layout>
                <c:manualLayout>
                  <c:x val="-0.00146478878437755"/>
                  <c:y val="-0.00628930895475025"/>
                </c:manualLayout>
              </c:layout>
              <c:tx>
                <c:rich>
                  <a:bodyPr/>
                  <a:lstStyle/>
                  <a:p>
                    <a:r>
                      <a:rPr lang="en-US"/>
                      <a:t>Netherlands</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Belarus</a:t>
                    </a:r>
                  </a:p>
                </c:rich>
              </c:tx>
              <c:showLegendKey val="0"/>
              <c:showVal val="1"/>
              <c:showCatName val="0"/>
              <c:showSerName val="0"/>
              <c:showPercent val="0"/>
              <c:showBubbleSize val="0"/>
              <c:extLst>
                <c:ext xmlns:c15="http://schemas.microsoft.com/office/drawing/2012/chart" uri="{CE6537A1-D6FC-4f65-9D91-7224C49458BB}"/>
              </c:extLst>
            </c:dLbl>
            <c:dLbl>
              <c:idx val="27"/>
              <c:layout>
                <c:manualLayout>
                  <c:x val="0.0"/>
                  <c:y val="0.00471698171606271"/>
                </c:manualLayout>
              </c:layout>
              <c:tx>
                <c:rich>
                  <a:bodyPr/>
                  <a:lstStyle/>
                  <a:p>
                    <a:r>
                      <a:rPr lang="en-US"/>
                      <a:t>Sweden</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Romania</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Croatia</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Israel</a:t>
                    </a:r>
                  </a:p>
                </c:rich>
              </c:tx>
              <c:showLegendKey val="0"/>
              <c:showVal val="1"/>
              <c:showCatName val="0"/>
              <c:showSerName val="0"/>
              <c:showPercent val="0"/>
              <c:showBubbleSize val="0"/>
              <c:extLst>
                <c:ext xmlns:c15="http://schemas.microsoft.com/office/drawing/2012/chart" uri="{CE6537A1-D6FC-4f65-9D91-7224C49458BB}"/>
              </c:extLst>
            </c:dLbl>
            <c:dLbl>
              <c:idx val="31"/>
              <c:layout>
                <c:manualLayout>
                  <c:x val="0.0"/>
                  <c:y val="0.00943396343212542"/>
                </c:manualLayout>
              </c:layout>
              <c:tx>
                <c:rich>
                  <a:bodyPr/>
                  <a:lstStyle/>
                  <a:p>
                    <a:r>
                      <a:rPr lang="en-US"/>
                      <a:t>Montenegro</a:t>
                    </a:r>
                  </a:p>
                </c:rich>
              </c:tx>
              <c:showLegendKey val="0"/>
              <c:showVal val="1"/>
              <c:showCatName val="0"/>
              <c:showSerName val="0"/>
              <c:showPercent val="0"/>
              <c:showBubbleSize val="0"/>
              <c:extLst>
                <c:ext xmlns:c15="http://schemas.microsoft.com/office/drawing/2012/chart" uri="{CE6537A1-D6FC-4f65-9D91-7224C49458BB}"/>
              </c:extLst>
            </c:dLbl>
            <c:dLbl>
              <c:idx val="32"/>
              <c:tx>
                <c:rich>
                  <a:bodyPr/>
                  <a:lstStyle/>
                  <a:p>
                    <a:r>
                      <a:rPr lang="en-US"/>
                      <a:t>Albania</a:t>
                    </a:r>
                  </a:p>
                </c:rich>
              </c:tx>
              <c:showLegendKey val="0"/>
              <c:showVal val="1"/>
              <c:showCatName val="0"/>
              <c:showSerName val="0"/>
              <c:showPercent val="0"/>
              <c:showBubbleSize val="0"/>
              <c:extLst>
                <c:ext xmlns:c15="http://schemas.microsoft.com/office/drawing/2012/chart" uri="{CE6537A1-D6FC-4f65-9D91-7224C49458BB}"/>
              </c:extLst>
            </c:dLbl>
            <c:dLbl>
              <c:idx val="33"/>
              <c:tx>
                <c:rich>
                  <a:bodyPr/>
                  <a:lstStyle/>
                  <a:p>
                    <a:r>
                      <a:rPr lang="en-US"/>
                      <a:t>Ireland</a:t>
                    </a:r>
                  </a:p>
                </c:rich>
              </c:tx>
              <c:showLegendKey val="0"/>
              <c:showVal val="1"/>
              <c:showCatName val="0"/>
              <c:showSerName val="0"/>
              <c:showPercent val="0"/>
              <c:showBubbleSize val="0"/>
              <c:extLst>
                <c:ext xmlns:c15="http://schemas.microsoft.com/office/drawing/2012/chart" uri="{CE6537A1-D6FC-4f65-9D91-7224C49458BB}"/>
              </c:extLst>
            </c:dLbl>
            <c:dLbl>
              <c:idx val="34"/>
              <c:tx>
                <c:rich>
                  <a:bodyPr/>
                  <a:lstStyle/>
                  <a:p>
                    <a:r>
                      <a:rPr lang="en-US"/>
                      <a:t>Poland</a:t>
                    </a:r>
                  </a:p>
                </c:rich>
              </c:tx>
              <c:showLegendKey val="0"/>
              <c:showVal val="1"/>
              <c:showCatName val="0"/>
              <c:showSerName val="0"/>
              <c:showPercent val="0"/>
              <c:showBubbleSize val="0"/>
              <c:extLst>
                <c:ext xmlns:c15="http://schemas.microsoft.com/office/drawing/2012/chart" uri="{CE6537A1-D6FC-4f65-9D91-7224C49458BB}"/>
              </c:extLst>
            </c:dLbl>
            <c:dLbl>
              <c:idx val="35"/>
              <c:layout>
                <c:manualLayout>
                  <c:x val="0.00146478878437755"/>
                  <c:y val="-0.00314465447737514"/>
                </c:manualLayout>
              </c:layout>
              <c:tx>
                <c:rich>
                  <a:bodyPr/>
                  <a:lstStyle/>
                  <a:p>
                    <a:r>
                      <a:rPr lang="en-US"/>
                      <a:t>France</a:t>
                    </a:r>
                  </a:p>
                </c:rich>
              </c:tx>
              <c:showLegendKey val="0"/>
              <c:showVal val="1"/>
              <c:showCatName val="0"/>
              <c:showSerName val="0"/>
              <c:showPercent val="0"/>
              <c:showBubbleSize val="0"/>
              <c:extLst>
                <c:ext xmlns:c15="http://schemas.microsoft.com/office/drawing/2012/chart" uri="{CE6537A1-D6FC-4f65-9D91-7224C49458BB}"/>
              </c:extLst>
            </c:dLbl>
            <c:dLbl>
              <c:idx val="36"/>
              <c:tx>
                <c:rich>
                  <a:bodyPr/>
                  <a:lstStyle/>
                  <a:p>
                    <a:r>
                      <a:rPr lang="en-US"/>
                      <a:t>Belgium</a:t>
                    </a:r>
                  </a:p>
                </c:rich>
              </c:tx>
              <c:showLegendKey val="0"/>
              <c:showVal val="1"/>
              <c:showCatName val="0"/>
              <c:showSerName val="0"/>
              <c:showPercent val="0"/>
              <c:showBubbleSize val="0"/>
              <c:extLst>
                <c:ext xmlns:c15="http://schemas.microsoft.com/office/drawing/2012/chart" uri="{CE6537A1-D6FC-4f65-9D91-7224C49458BB}"/>
              </c:extLst>
            </c:dLbl>
            <c:dLbl>
              <c:idx val="37"/>
              <c:tx>
                <c:rich>
                  <a:bodyPr/>
                  <a:lstStyle/>
                  <a:p>
                    <a:r>
                      <a:rPr lang="en-US"/>
                      <a:t>Cyprus</a:t>
                    </a:r>
                  </a:p>
                </c:rich>
              </c:tx>
              <c:showLegendKey val="0"/>
              <c:showVal val="1"/>
              <c:showCatName val="0"/>
              <c:showSerName val="0"/>
              <c:showPercent val="0"/>
              <c:showBubbleSize val="0"/>
              <c:extLst>
                <c:ext xmlns:c15="http://schemas.microsoft.com/office/drawing/2012/chart" uri="{CE6537A1-D6FC-4f65-9D91-7224C49458BB}"/>
              </c:extLst>
            </c:dLbl>
            <c:dLbl>
              <c:idx val="38"/>
              <c:tx>
                <c:rich>
                  <a:bodyPr/>
                  <a:lstStyle/>
                  <a:p>
                    <a:r>
                      <a:rPr lang="en-US"/>
                      <a:t>Italy</a:t>
                    </a:r>
                  </a:p>
                </c:rich>
              </c:tx>
              <c:showLegendKey val="0"/>
              <c:showVal val="1"/>
              <c:showCatName val="0"/>
              <c:showSerName val="0"/>
              <c:showPercent val="0"/>
              <c:showBubbleSize val="0"/>
              <c:extLst>
                <c:ext xmlns:c15="http://schemas.microsoft.com/office/drawing/2012/chart" uri="{CE6537A1-D6FC-4f65-9D91-7224C49458BB}"/>
              </c:extLst>
            </c:dLbl>
            <c:dLbl>
              <c:idx val="39"/>
              <c:tx>
                <c:rich>
                  <a:bodyPr/>
                  <a:lstStyle/>
                  <a:p>
                    <a:r>
                      <a:rPr lang="en-US"/>
                      <a:t>Malta</a:t>
                    </a:r>
                  </a:p>
                </c:rich>
              </c:tx>
              <c:showLegendKey val="0"/>
              <c:showVal val="1"/>
              <c:showCatName val="0"/>
              <c:showSerName val="0"/>
              <c:showPercent val="0"/>
              <c:showBubbleSize val="0"/>
              <c:extLst>
                <c:ext xmlns:c15="http://schemas.microsoft.com/office/drawing/2012/chart" uri="{CE6537A1-D6FC-4f65-9D91-7224C49458BB}"/>
              </c:extLst>
            </c:dLbl>
            <c:dLbl>
              <c:idx val="40"/>
              <c:tx>
                <c:rich>
                  <a:bodyPr/>
                  <a:lstStyle/>
                  <a:p>
                    <a:r>
                      <a:rPr lang="en-US"/>
                      <a:t>Spain</a:t>
                    </a:r>
                  </a:p>
                </c:rich>
              </c:tx>
              <c:showLegendKey val="0"/>
              <c:showVal val="1"/>
              <c:showCatName val="0"/>
              <c:showSerName val="0"/>
              <c:showPercent val="0"/>
              <c:showBubbleSize val="0"/>
              <c:extLst>
                <c:ext xmlns:c15="http://schemas.microsoft.com/office/drawing/2012/chart" uri="{CE6537A1-D6FC-4f65-9D91-7224C49458BB}"/>
              </c:extLst>
            </c:dLbl>
            <c:dLbl>
              <c:idx val="41"/>
              <c:tx>
                <c:rich>
                  <a:bodyPr/>
                  <a:lstStyle/>
                  <a:p>
                    <a:r>
                      <a:rPr lang="en-US"/>
                      <a:t>Greece</a:t>
                    </a:r>
                  </a:p>
                </c:rich>
              </c:tx>
              <c:showLegendKey val="0"/>
              <c:showVal val="1"/>
              <c:showCatName val="0"/>
              <c:showSerName val="0"/>
              <c:showPercent val="0"/>
              <c:showBubbleSize val="0"/>
              <c:extLst>
                <c:ext xmlns:c15="http://schemas.microsoft.com/office/drawing/2012/chart" uri="{CE6537A1-D6FC-4f65-9D91-7224C49458BB}"/>
              </c:extLst>
            </c:dLbl>
            <c:dLbl>
              <c:idx val="42"/>
              <c:tx>
                <c:rich>
                  <a:bodyPr/>
                  <a:lstStyle/>
                  <a:p>
                    <a:r>
                      <a:rPr lang="en-US"/>
                      <a:t>Serbia</a:t>
                    </a:r>
                  </a:p>
                </c:rich>
              </c:tx>
              <c:showLegendKey val="0"/>
              <c:showVal val="1"/>
              <c:showCatName val="0"/>
              <c:showSerName val="0"/>
              <c:showPercent val="0"/>
              <c:showBubbleSize val="0"/>
              <c:extLst>
                <c:ext xmlns:c15="http://schemas.microsoft.com/office/drawing/2012/chart" uri="{CE6537A1-D6FC-4f65-9D91-7224C49458BB}"/>
              </c:extLst>
            </c:dLbl>
            <c:dLbl>
              <c:idx val="43"/>
              <c:tx>
                <c:rich>
                  <a:bodyPr/>
                  <a:lstStyle/>
                  <a:p>
                    <a:r>
                      <a:rPr lang="en-US"/>
                      <a:t>Portugal</a:t>
                    </a:r>
                  </a:p>
                </c:rich>
              </c:tx>
              <c:showLegendKey val="0"/>
              <c:showVal val="1"/>
              <c:showCatName val="0"/>
              <c:showSerName val="0"/>
              <c:showPercent val="0"/>
              <c:showBubbleSize val="0"/>
              <c:extLst>
                <c:ext xmlns:c15="http://schemas.microsoft.com/office/drawing/2012/chart" uri="{CE6537A1-D6FC-4f65-9D91-7224C49458BB}"/>
              </c:extLst>
            </c:dLbl>
            <c:dLbl>
              <c:idx val="44"/>
              <c:tx>
                <c:rich>
                  <a:bodyPr/>
                  <a:lstStyle/>
                  <a:p>
                    <a:r>
                      <a:rPr lang="en-US"/>
                      <a:t>Bosnia and Herzegovina</a:t>
                    </a:r>
                  </a:p>
                </c:rich>
              </c:tx>
              <c:showLegendKey val="0"/>
              <c:showVal val="1"/>
              <c:showCatName val="0"/>
              <c:showSerName val="0"/>
              <c:showPercent val="0"/>
              <c:showBubbleSize val="0"/>
              <c:extLst>
                <c:ext xmlns:c15="http://schemas.microsoft.com/office/drawing/2012/chart" uri="{CE6537A1-D6FC-4f65-9D91-7224C49458BB}"/>
              </c:extLst>
            </c:dLbl>
            <c:dLbl>
              <c:idx val="45"/>
              <c:tx>
                <c:rich>
                  <a:bodyPr/>
                  <a:lstStyle/>
                  <a:p>
                    <a:r>
                      <a:rPr lang="en-US"/>
                      <a:t>Macedonia</a:t>
                    </a:r>
                  </a:p>
                </c:rich>
              </c:tx>
              <c:showLegendKey val="0"/>
              <c:showVal val="1"/>
              <c:showCatName val="0"/>
              <c:showSerName val="0"/>
              <c:showPercent val="0"/>
              <c:showBubbleSize val="0"/>
              <c:extLst>
                <c:ext xmlns:c15="http://schemas.microsoft.com/office/drawing/2012/chart" uri="{CE6537A1-D6FC-4f65-9D91-7224C49458BB}"/>
              </c:extLst>
            </c:dLbl>
            <c:dLbl>
              <c:idx val="46"/>
              <c:tx>
                <c:rich>
                  <a:bodyPr/>
                  <a:lstStyle/>
                  <a:p>
                    <a:r>
                      <a:rPr lang="en-US"/>
                      <a:t>Turkey</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Figure30!$B$2:$B$48</c:f>
              <c:numCache>
                <c:formatCode>General</c:formatCode>
                <c:ptCount val="47"/>
                <c:pt idx="0">
                  <c:v>4.0</c:v>
                </c:pt>
                <c:pt idx="1">
                  <c:v>2.0</c:v>
                </c:pt>
                <c:pt idx="2">
                  <c:v>5.0</c:v>
                </c:pt>
                <c:pt idx="3">
                  <c:v>20.0</c:v>
                </c:pt>
                <c:pt idx="4">
                  <c:v>5.0</c:v>
                </c:pt>
                <c:pt idx="5">
                  <c:v>12.0</c:v>
                </c:pt>
                <c:pt idx="6">
                  <c:v>51.0</c:v>
                </c:pt>
                <c:pt idx="7">
                  <c:v>6.0</c:v>
                </c:pt>
                <c:pt idx="8">
                  <c:v>34.0</c:v>
                </c:pt>
                <c:pt idx="9">
                  <c:v>21.0</c:v>
                </c:pt>
                <c:pt idx="10">
                  <c:v>7.0</c:v>
                </c:pt>
                <c:pt idx="11">
                  <c:v>7.0</c:v>
                </c:pt>
                <c:pt idx="12">
                  <c:v>12.0</c:v>
                </c:pt>
                <c:pt idx="13">
                  <c:v>12.0</c:v>
                </c:pt>
                <c:pt idx="14">
                  <c:v>8.0</c:v>
                </c:pt>
                <c:pt idx="15">
                  <c:v>71.0</c:v>
                </c:pt>
                <c:pt idx="16">
                  <c:v>30.0</c:v>
                </c:pt>
                <c:pt idx="17">
                  <c:v>43.0</c:v>
                </c:pt>
                <c:pt idx="18">
                  <c:v>41.0</c:v>
                </c:pt>
                <c:pt idx="19">
                  <c:v>11.0</c:v>
                </c:pt>
                <c:pt idx="20">
                  <c:v>32.0</c:v>
                </c:pt>
                <c:pt idx="21">
                  <c:v>5.0</c:v>
                </c:pt>
                <c:pt idx="22">
                  <c:v>65.0</c:v>
                </c:pt>
                <c:pt idx="23">
                  <c:v>34.0</c:v>
                </c:pt>
                <c:pt idx="24">
                  <c:v>8.0</c:v>
                </c:pt>
                <c:pt idx="25">
                  <c:v>6.0</c:v>
                </c:pt>
                <c:pt idx="26">
                  <c:v>4.0</c:v>
                </c:pt>
                <c:pt idx="27">
                  <c:v>4.0</c:v>
                </c:pt>
                <c:pt idx="28">
                  <c:v>27.0</c:v>
                </c:pt>
                <c:pt idx="29">
                  <c:v>17.0</c:v>
                </c:pt>
                <c:pt idx="30">
                  <c:v>7.0</c:v>
                </c:pt>
                <c:pt idx="31">
                  <c:v>8.0</c:v>
                </c:pt>
                <c:pt idx="32">
                  <c:v>27.0</c:v>
                </c:pt>
                <c:pt idx="33">
                  <c:v>6.0</c:v>
                </c:pt>
                <c:pt idx="34">
                  <c:v>5.0</c:v>
                </c:pt>
                <c:pt idx="35">
                  <c:v>8.0</c:v>
                </c:pt>
                <c:pt idx="36">
                  <c:v>8.0</c:v>
                </c:pt>
                <c:pt idx="37">
                  <c:v>10.0</c:v>
                </c:pt>
                <c:pt idx="38">
                  <c:v>4.0</c:v>
                </c:pt>
                <c:pt idx="39">
                  <c:v>8.0</c:v>
                </c:pt>
                <c:pt idx="40">
                  <c:v>6.0</c:v>
                </c:pt>
                <c:pt idx="41">
                  <c:v>3.0</c:v>
                </c:pt>
                <c:pt idx="42">
                  <c:v>12.0</c:v>
                </c:pt>
                <c:pt idx="43">
                  <c:v>8.0</c:v>
                </c:pt>
                <c:pt idx="44">
                  <c:v>8.0</c:v>
                </c:pt>
                <c:pt idx="45">
                  <c:v>10.0</c:v>
                </c:pt>
                <c:pt idx="46">
                  <c:v>20.0</c:v>
                </c:pt>
              </c:numCache>
            </c:numRef>
          </c:xVal>
          <c:yVal>
            <c:numRef>
              <c:f>Figure30!$C$2:$C$48</c:f>
              <c:numCache>
                <c:formatCode>General</c:formatCode>
                <c:ptCount val="47"/>
                <c:pt idx="0">
                  <c:v>100.0</c:v>
                </c:pt>
                <c:pt idx="1">
                  <c:v>100.0</c:v>
                </c:pt>
                <c:pt idx="2">
                  <c:v>100.0</c:v>
                </c:pt>
                <c:pt idx="3">
                  <c:v>100.0</c:v>
                </c:pt>
                <c:pt idx="4">
                  <c:v>99.86575999999999</c:v>
                </c:pt>
                <c:pt idx="5">
                  <c:v>99.81787</c:v>
                </c:pt>
                <c:pt idx="6">
                  <c:v>99.25004</c:v>
                </c:pt>
                <c:pt idx="7">
                  <c:v>99.09493</c:v>
                </c:pt>
                <c:pt idx="8">
                  <c:v>98.91229</c:v>
                </c:pt>
                <c:pt idx="9">
                  <c:v>97.9</c:v>
                </c:pt>
                <c:pt idx="10">
                  <c:v>97.36273</c:v>
                </c:pt>
                <c:pt idx="11">
                  <c:v>96.28518</c:v>
                </c:pt>
                <c:pt idx="12">
                  <c:v>95.77733000000001</c:v>
                </c:pt>
                <c:pt idx="13">
                  <c:v>95.54286</c:v>
                </c:pt>
                <c:pt idx="14">
                  <c:v>94.99202</c:v>
                </c:pt>
                <c:pt idx="15">
                  <c:v>94.51886</c:v>
                </c:pt>
                <c:pt idx="16">
                  <c:v>94.1</c:v>
                </c:pt>
                <c:pt idx="17">
                  <c:v>93.71107</c:v>
                </c:pt>
                <c:pt idx="18">
                  <c:v>93.64879999999999</c:v>
                </c:pt>
                <c:pt idx="19">
                  <c:v>93.01004</c:v>
                </c:pt>
                <c:pt idx="20">
                  <c:v>91.5</c:v>
                </c:pt>
                <c:pt idx="21">
                  <c:v>91.00462869</c:v>
                </c:pt>
                <c:pt idx="22">
                  <c:v>89.93706</c:v>
                </c:pt>
                <c:pt idx="23">
                  <c:v>89.59753</c:v>
                </c:pt>
                <c:pt idx="24">
                  <c:v>89.1177</c:v>
                </c:pt>
                <c:pt idx="25">
                  <c:v>87.68165</c:v>
                </c:pt>
                <c:pt idx="26">
                  <c:v>87.00197</c:v>
                </c:pt>
                <c:pt idx="27">
                  <c:v>86.54411</c:v>
                </c:pt>
                <c:pt idx="28">
                  <c:v>86.05882</c:v>
                </c:pt>
                <c:pt idx="29">
                  <c:v>84.98932</c:v>
                </c:pt>
                <c:pt idx="30">
                  <c:v>84.36737</c:v>
                </c:pt>
                <c:pt idx="31">
                  <c:v>84.15721</c:v>
                </c:pt>
                <c:pt idx="32">
                  <c:v>81.77317</c:v>
                </c:pt>
                <c:pt idx="33">
                  <c:v>80.51964</c:v>
                </c:pt>
                <c:pt idx="34">
                  <c:v>79.41643</c:v>
                </c:pt>
                <c:pt idx="35">
                  <c:v>78.01226</c:v>
                </c:pt>
                <c:pt idx="36">
                  <c:v>77.50484</c:v>
                </c:pt>
                <c:pt idx="37">
                  <c:v>72.2</c:v>
                </c:pt>
                <c:pt idx="38">
                  <c:v>71.24902</c:v>
                </c:pt>
                <c:pt idx="39">
                  <c:v>68.55354</c:v>
                </c:pt>
                <c:pt idx="40">
                  <c:v>66.76213</c:v>
                </c:pt>
                <c:pt idx="41">
                  <c:v>59.50699</c:v>
                </c:pt>
                <c:pt idx="42">
                  <c:v>58.44699</c:v>
                </c:pt>
                <c:pt idx="43">
                  <c:v>47.70878</c:v>
                </c:pt>
                <c:pt idx="44">
                  <c:v>44.8</c:v>
                </c:pt>
                <c:pt idx="45">
                  <c:v>40.16013</c:v>
                </c:pt>
                <c:pt idx="46">
                  <c:v>38.9821</c:v>
                </c:pt>
              </c:numCache>
            </c:numRef>
          </c:yVal>
          <c:smooth val="0"/>
        </c:ser>
        <c:dLbls>
          <c:showLegendKey val="0"/>
          <c:showVal val="0"/>
          <c:showCatName val="0"/>
          <c:showSerName val="0"/>
          <c:showPercent val="0"/>
          <c:showBubbleSize val="0"/>
        </c:dLbls>
        <c:axId val="2089354032"/>
        <c:axId val="2090263760"/>
      </c:scatterChart>
      <c:valAx>
        <c:axId val="2089354032"/>
        <c:scaling>
          <c:orientation val="minMax"/>
        </c:scaling>
        <c:delete val="0"/>
        <c:axPos val="b"/>
        <c:title>
          <c:tx>
            <c:rich>
              <a:bodyPr/>
              <a:lstStyle/>
              <a:p>
                <a:pPr>
                  <a:defRPr lang="da-DK"/>
                </a:pPr>
                <a:r>
                  <a:rPr lang="en-US" sz="1000" b="1" i="0" baseline="0">
                    <a:effectLst/>
                  </a:rPr>
                  <a:t>Maternal mortality ratio (deaths per 100,000 live births), 2010</a:t>
                </a:r>
                <a:endParaRPr lang="en-US" sz="1000">
                  <a:effectLst/>
                </a:endParaRPr>
              </a:p>
            </c:rich>
          </c:tx>
          <c:overlay val="0"/>
        </c:title>
        <c:numFmt formatCode="General" sourceLinked="1"/>
        <c:majorTickMark val="out"/>
        <c:minorTickMark val="none"/>
        <c:tickLblPos val="nextTo"/>
        <c:txPr>
          <a:bodyPr/>
          <a:lstStyle/>
          <a:p>
            <a:pPr>
              <a:defRPr lang="da-DK"/>
            </a:pPr>
            <a:endParaRPr lang="en-US"/>
          </a:p>
        </c:txPr>
        <c:crossAx val="2090263760"/>
        <c:crosses val="autoZero"/>
        <c:crossBetween val="midCat"/>
      </c:valAx>
      <c:valAx>
        <c:axId val="2090263760"/>
        <c:scaling>
          <c:orientation val="minMax"/>
          <c:max val="100.0"/>
          <c:min val="35.0"/>
        </c:scaling>
        <c:delete val="0"/>
        <c:axPos val="l"/>
        <c:title>
          <c:tx>
            <c:rich>
              <a:bodyPr rot="-5400000" vert="horz"/>
              <a:lstStyle/>
              <a:p>
                <a:pPr>
                  <a:defRPr lang="da-DK"/>
                </a:pPr>
                <a:r>
                  <a:rPr lang="en-US" sz="1000" b="1" i="0" baseline="0">
                    <a:effectLst/>
                  </a:rPr>
                  <a:t>Female population with at least some secondary education (% aged 25 and above), 2005-20129</a:t>
                </a:r>
                <a:endParaRPr lang="en-US" sz="1000">
                  <a:effectLst/>
                </a:endParaRPr>
              </a:p>
            </c:rich>
          </c:tx>
          <c:overlay val="0"/>
        </c:title>
        <c:numFmt formatCode="General" sourceLinked="1"/>
        <c:majorTickMark val="out"/>
        <c:minorTickMark val="none"/>
        <c:tickLblPos val="nextTo"/>
        <c:txPr>
          <a:bodyPr/>
          <a:lstStyle/>
          <a:p>
            <a:pPr>
              <a:defRPr lang="da-DK"/>
            </a:pPr>
            <a:endParaRPr lang="en-US"/>
          </a:p>
        </c:txPr>
        <c:crossAx val="2089354032"/>
        <c:crosses val="autoZero"/>
        <c:crossBetween val="midCat"/>
      </c:valAx>
    </c:plotArea>
    <c:plotVisOnly val="1"/>
    <c:dispBlanksAs val="gap"/>
    <c:showDLblsOverMax val="0"/>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'[7]Anten. care 1 visit URBAN_RURAL'!$E$7</c:f>
              <c:strCache>
                <c:ptCount val="1"/>
                <c:pt idx="0">
                  <c:v>#REF!</c:v>
                </c:pt>
              </c:strCache>
            </c:strRef>
          </c:tx>
          <c:invertIfNegative val="0"/>
          <c:cat>
            <c:strRef>
              <c:f>Figure31a!$B$8:$B$25</c:f>
              <c:strCache>
                <c:ptCount val="18"/>
                <c:pt idx="0">
                  <c:v>Tajikistan</c:v>
                </c:pt>
                <c:pt idx="1">
                  <c:v>Bosnia and Herzegovina</c:v>
                </c:pt>
                <c:pt idx="2">
                  <c:v>Azerbaijan</c:v>
                </c:pt>
                <c:pt idx="3">
                  <c:v>Turkey</c:v>
                </c:pt>
                <c:pt idx="4">
                  <c:v>Romania</c:v>
                </c:pt>
                <c:pt idx="5">
                  <c:v>Montenegro</c:v>
                </c:pt>
                <c:pt idx="6">
                  <c:v>Turkmenistan</c:v>
                </c:pt>
                <c:pt idx="7">
                  <c:v>Armenia</c:v>
                </c:pt>
                <c:pt idx="8">
                  <c:v>Republic of Moldova</c:v>
                </c:pt>
                <c:pt idx="9">
                  <c:v>Kyrgyzstan</c:v>
                </c:pt>
                <c:pt idx="10">
                  <c:v>Ukraine</c:v>
                </c:pt>
                <c:pt idx="11">
                  <c:v>Kazakhstan</c:v>
                </c:pt>
                <c:pt idx="12">
                  <c:v>Albania</c:v>
                </c:pt>
                <c:pt idx="13">
                  <c:v>Georgia</c:v>
                </c:pt>
                <c:pt idx="14">
                  <c:v>Uzbekistan</c:v>
                </c:pt>
                <c:pt idx="15">
                  <c:v>TFYR Macedonia</c:v>
                </c:pt>
                <c:pt idx="16">
                  <c:v>Serbia</c:v>
                </c:pt>
                <c:pt idx="17">
                  <c:v>Belarus</c:v>
                </c:pt>
              </c:strCache>
            </c:strRef>
          </c:cat>
          <c:val>
            <c:numRef>
              <c:f>'[7]Anten. care 1 visit URBAN_RURAL'!$E$8:$E$25</c:f>
              <c:numCache>
                <c:formatCode>General</c:formatCode>
                <c:ptCount val="18"/>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numCache>
            </c:numRef>
          </c:val>
        </c:ser>
        <c:ser>
          <c:idx val="1"/>
          <c:order val="1"/>
          <c:tx>
            <c:strRef>
              <c:f>'[7]Anten. care 1 visit URBAN_RURAL'!$F$7</c:f>
              <c:strCache>
                <c:ptCount val="1"/>
                <c:pt idx="0">
                  <c:v>#REF!</c:v>
                </c:pt>
              </c:strCache>
            </c:strRef>
          </c:tx>
          <c:invertIfNegative val="0"/>
          <c:cat>
            <c:strRef>
              <c:f>Figure31a!$B$8:$B$25</c:f>
              <c:strCache>
                <c:ptCount val="18"/>
                <c:pt idx="0">
                  <c:v>Tajikistan</c:v>
                </c:pt>
                <c:pt idx="1">
                  <c:v>Bosnia and Herzegovina</c:v>
                </c:pt>
                <c:pt idx="2">
                  <c:v>Azerbaijan</c:v>
                </c:pt>
                <c:pt idx="3">
                  <c:v>Turkey</c:v>
                </c:pt>
                <c:pt idx="4">
                  <c:v>Romania</c:v>
                </c:pt>
                <c:pt idx="5">
                  <c:v>Montenegro</c:v>
                </c:pt>
                <c:pt idx="6">
                  <c:v>Turkmenistan</c:v>
                </c:pt>
                <c:pt idx="7">
                  <c:v>Armenia</c:v>
                </c:pt>
                <c:pt idx="8">
                  <c:v>Republic of Moldova</c:v>
                </c:pt>
                <c:pt idx="9">
                  <c:v>Kyrgyzstan</c:v>
                </c:pt>
                <c:pt idx="10">
                  <c:v>Ukraine</c:v>
                </c:pt>
                <c:pt idx="11">
                  <c:v>Kazakhstan</c:v>
                </c:pt>
                <c:pt idx="12">
                  <c:v>Albania</c:v>
                </c:pt>
                <c:pt idx="13">
                  <c:v>Georgia</c:v>
                </c:pt>
                <c:pt idx="14">
                  <c:v>Uzbekistan</c:v>
                </c:pt>
                <c:pt idx="15">
                  <c:v>TFYR Macedonia</c:v>
                </c:pt>
                <c:pt idx="16">
                  <c:v>Serbia</c:v>
                </c:pt>
                <c:pt idx="17">
                  <c:v>Belarus</c:v>
                </c:pt>
              </c:strCache>
            </c:strRef>
          </c:cat>
          <c:val>
            <c:numRef>
              <c:f>'[7]Anten. care 1 visit URBAN_RURAL'!$F$8:$F$25</c:f>
              <c:numCache>
                <c:formatCode>General</c:formatCode>
                <c:ptCount val="18"/>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numCache>
            </c:numRef>
          </c:val>
        </c:ser>
        <c:dLbls>
          <c:showLegendKey val="0"/>
          <c:showVal val="0"/>
          <c:showCatName val="0"/>
          <c:showSerName val="0"/>
          <c:showPercent val="0"/>
          <c:showBubbleSize val="0"/>
        </c:dLbls>
        <c:gapWidth val="150"/>
        <c:axId val="2090299152"/>
        <c:axId val="2090302224"/>
      </c:barChart>
      <c:catAx>
        <c:axId val="2090299152"/>
        <c:scaling>
          <c:orientation val="minMax"/>
        </c:scaling>
        <c:delete val="0"/>
        <c:axPos val="l"/>
        <c:numFmt formatCode="General" sourceLinked="0"/>
        <c:majorTickMark val="out"/>
        <c:minorTickMark val="none"/>
        <c:tickLblPos val="nextTo"/>
        <c:txPr>
          <a:bodyPr/>
          <a:lstStyle/>
          <a:p>
            <a:pPr>
              <a:defRPr lang="da-DK"/>
            </a:pPr>
            <a:endParaRPr lang="en-US"/>
          </a:p>
        </c:txPr>
        <c:crossAx val="2090302224"/>
        <c:crosses val="autoZero"/>
        <c:auto val="1"/>
        <c:lblAlgn val="ctr"/>
        <c:lblOffset val="100"/>
        <c:noMultiLvlLbl val="0"/>
      </c:catAx>
      <c:valAx>
        <c:axId val="2090302224"/>
        <c:scaling>
          <c:orientation val="minMax"/>
          <c:max val="100.0"/>
          <c:min val="60.0"/>
        </c:scaling>
        <c:delete val="0"/>
        <c:axPos val="b"/>
        <c:majorGridlines/>
        <c:title>
          <c:tx>
            <c:rich>
              <a:bodyPr/>
              <a:lstStyle/>
              <a:p>
                <a:pPr>
                  <a:defRPr lang="da-DK"/>
                </a:pPr>
                <a:r>
                  <a:rPr lang="en-US"/>
                  <a:t>Percentage (%)</a:t>
                </a:r>
              </a:p>
            </c:rich>
          </c:tx>
          <c:overlay val="0"/>
        </c:title>
        <c:numFmt formatCode="General" sourceLinked="1"/>
        <c:majorTickMark val="out"/>
        <c:minorTickMark val="none"/>
        <c:tickLblPos val="nextTo"/>
        <c:txPr>
          <a:bodyPr/>
          <a:lstStyle/>
          <a:p>
            <a:pPr>
              <a:defRPr lang="da-DK"/>
            </a:pPr>
            <a:endParaRPr lang="en-US"/>
          </a:p>
        </c:txPr>
        <c:crossAx val="2090299152"/>
        <c:crosses val="autoZero"/>
        <c:crossBetween val="between"/>
      </c:valAx>
    </c:plotArea>
    <c:legend>
      <c:legendPos val="r"/>
      <c:overlay val="0"/>
      <c:txPr>
        <a:bodyPr/>
        <a:lstStyle/>
        <a:p>
          <a:pPr>
            <a:defRPr lang="da-DK"/>
          </a:pPr>
          <a:endParaRPr lang="en-US"/>
        </a:p>
      </c:txPr>
    </c:legend>
    <c:plotVisOnly val="1"/>
    <c:dispBlanksAs val="gap"/>
    <c:showDLblsOverMax val="0"/>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ser>
          <c:idx val="0"/>
          <c:order val="0"/>
          <c:tx>
            <c:strRef>
              <c:f>Figure31b!$G$7</c:f>
              <c:strCache>
                <c:ptCount val="1"/>
                <c:pt idx="0">
                  <c:v>Poorest</c:v>
                </c:pt>
              </c:strCache>
            </c:strRef>
          </c:tx>
          <c:spPr>
            <a:solidFill>
              <a:srgbClr val="000090"/>
            </a:solidFill>
          </c:spPr>
          <c:invertIfNegative val="0"/>
          <c:cat>
            <c:strRef>
              <c:f>Figure31b!$B$8:$B$23</c:f>
              <c:strCache>
                <c:ptCount val="16"/>
                <c:pt idx="0">
                  <c:v>Tajikistan</c:v>
                </c:pt>
                <c:pt idx="1">
                  <c:v>Bosnia and Herzegovina</c:v>
                </c:pt>
                <c:pt idx="2">
                  <c:v>Azerbaijan</c:v>
                </c:pt>
                <c:pt idx="3">
                  <c:v>Turkey</c:v>
                </c:pt>
                <c:pt idx="4">
                  <c:v>Montenegro</c:v>
                </c:pt>
                <c:pt idx="5">
                  <c:v>Armenia</c:v>
                </c:pt>
                <c:pt idx="6">
                  <c:v>Republic of Moldova</c:v>
                </c:pt>
                <c:pt idx="7">
                  <c:v>Kyrgyzstan</c:v>
                </c:pt>
                <c:pt idx="8">
                  <c:v>Ukraine</c:v>
                </c:pt>
                <c:pt idx="9">
                  <c:v>Kazakhstan</c:v>
                </c:pt>
                <c:pt idx="10">
                  <c:v>Albania</c:v>
                </c:pt>
                <c:pt idx="11">
                  <c:v>Georgia</c:v>
                </c:pt>
                <c:pt idx="12">
                  <c:v>Uzbekistan</c:v>
                </c:pt>
                <c:pt idx="13">
                  <c:v>TFYR Macedonia</c:v>
                </c:pt>
                <c:pt idx="14">
                  <c:v>Serbia</c:v>
                </c:pt>
                <c:pt idx="15">
                  <c:v>Belarus</c:v>
                </c:pt>
              </c:strCache>
            </c:strRef>
          </c:cat>
          <c:val>
            <c:numRef>
              <c:f>Figure31b!$G$8:$G$23</c:f>
              <c:numCache>
                <c:formatCode>General</c:formatCode>
                <c:ptCount val="16"/>
                <c:pt idx="0">
                  <c:v>66.3</c:v>
                </c:pt>
                <c:pt idx="1">
                  <c:v>93.1</c:v>
                </c:pt>
                <c:pt idx="2">
                  <c:v>53.2</c:v>
                </c:pt>
                <c:pt idx="3">
                  <c:v>76.1</c:v>
                </c:pt>
                <c:pt idx="4">
                  <c:v>93.4</c:v>
                </c:pt>
                <c:pt idx="5">
                  <c:v>99.6</c:v>
                </c:pt>
                <c:pt idx="6">
                  <c:v>94.9</c:v>
                </c:pt>
                <c:pt idx="7">
                  <c:v>95.5</c:v>
                </c:pt>
                <c:pt idx="8">
                  <c:v>98.8</c:v>
                </c:pt>
                <c:pt idx="9">
                  <c:v>98.8</c:v>
                </c:pt>
                <c:pt idx="10">
                  <c:v>93.3</c:v>
                </c:pt>
                <c:pt idx="11">
                  <c:v>94.0</c:v>
                </c:pt>
                <c:pt idx="12">
                  <c:v>98.0</c:v>
                </c:pt>
                <c:pt idx="13">
                  <c:v>97.0</c:v>
                </c:pt>
                <c:pt idx="14">
                  <c:v>95.4</c:v>
                </c:pt>
                <c:pt idx="15">
                  <c:v>97.8</c:v>
                </c:pt>
              </c:numCache>
            </c:numRef>
          </c:val>
        </c:ser>
        <c:ser>
          <c:idx val="1"/>
          <c:order val="1"/>
          <c:tx>
            <c:strRef>
              <c:f>Figure31b!$H$7</c:f>
              <c:strCache>
                <c:ptCount val="1"/>
                <c:pt idx="0">
                  <c:v>Second</c:v>
                </c:pt>
              </c:strCache>
            </c:strRef>
          </c:tx>
          <c:spPr>
            <a:solidFill>
              <a:srgbClr val="FF0000"/>
            </a:solidFill>
          </c:spPr>
          <c:invertIfNegative val="0"/>
          <c:cat>
            <c:strRef>
              <c:f>Figure31b!$B$8:$B$23</c:f>
              <c:strCache>
                <c:ptCount val="16"/>
                <c:pt idx="0">
                  <c:v>Tajikistan</c:v>
                </c:pt>
                <c:pt idx="1">
                  <c:v>Bosnia and Herzegovina</c:v>
                </c:pt>
                <c:pt idx="2">
                  <c:v>Azerbaijan</c:v>
                </c:pt>
                <c:pt idx="3">
                  <c:v>Turkey</c:v>
                </c:pt>
                <c:pt idx="4">
                  <c:v>Montenegro</c:v>
                </c:pt>
                <c:pt idx="5">
                  <c:v>Armenia</c:v>
                </c:pt>
                <c:pt idx="6">
                  <c:v>Republic of Moldova</c:v>
                </c:pt>
                <c:pt idx="7">
                  <c:v>Kyrgyzstan</c:v>
                </c:pt>
                <c:pt idx="8">
                  <c:v>Ukraine</c:v>
                </c:pt>
                <c:pt idx="9">
                  <c:v>Kazakhstan</c:v>
                </c:pt>
                <c:pt idx="10">
                  <c:v>Albania</c:v>
                </c:pt>
                <c:pt idx="11">
                  <c:v>Georgia</c:v>
                </c:pt>
                <c:pt idx="12">
                  <c:v>Uzbekistan</c:v>
                </c:pt>
                <c:pt idx="13">
                  <c:v>TFYR Macedonia</c:v>
                </c:pt>
                <c:pt idx="14">
                  <c:v>Serbia</c:v>
                </c:pt>
                <c:pt idx="15">
                  <c:v>Belarus</c:v>
                </c:pt>
              </c:strCache>
            </c:strRef>
          </c:cat>
          <c:val>
            <c:numRef>
              <c:f>Figure31b!$H$8:$H$23</c:f>
              <c:numCache>
                <c:formatCode>General</c:formatCode>
                <c:ptCount val="16"/>
                <c:pt idx="0">
                  <c:v>70.9</c:v>
                </c:pt>
                <c:pt idx="1">
                  <c:v>82.0</c:v>
                </c:pt>
                <c:pt idx="2">
                  <c:v>68.8</c:v>
                </c:pt>
                <c:pt idx="3">
                  <c:v>90.6</c:v>
                </c:pt>
                <c:pt idx="4">
                  <c:v>100.0</c:v>
                </c:pt>
                <c:pt idx="5">
                  <c:v>98.8</c:v>
                </c:pt>
                <c:pt idx="6">
                  <c:v>100.0</c:v>
                </c:pt>
                <c:pt idx="7">
                  <c:v>96.5</c:v>
                </c:pt>
                <c:pt idx="8">
                  <c:v>97.1</c:v>
                </c:pt>
                <c:pt idx="9">
                  <c:v>99.8</c:v>
                </c:pt>
                <c:pt idx="10">
                  <c:v>95.7</c:v>
                </c:pt>
                <c:pt idx="11">
                  <c:v>96.9</c:v>
                </c:pt>
                <c:pt idx="12">
                  <c:v>98.2</c:v>
                </c:pt>
                <c:pt idx="13">
                  <c:v>98.0</c:v>
                </c:pt>
                <c:pt idx="14">
                  <c:v>100.0</c:v>
                </c:pt>
                <c:pt idx="15">
                  <c:v>100.0</c:v>
                </c:pt>
              </c:numCache>
            </c:numRef>
          </c:val>
        </c:ser>
        <c:ser>
          <c:idx val="2"/>
          <c:order val="2"/>
          <c:tx>
            <c:strRef>
              <c:f>Figure31b!$I$7</c:f>
              <c:strCache>
                <c:ptCount val="1"/>
                <c:pt idx="0">
                  <c:v>Middle</c:v>
                </c:pt>
              </c:strCache>
            </c:strRef>
          </c:tx>
          <c:invertIfNegative val="0"/>
          <c:cat>
            <c:strRef>
              <c:f>Figure31b!$B$8:$B$23</c:f>
              <c:strCache>
                <c:ptCount val="16"/>
                <c:pt idx="0">
                  <c:v>Tajikistan</c:v>
                </c:pt>
                <c:pt idx="1">
                  <c:v>Bosnia and Herzegovina</c:v>
                </c:pt>
                <c:pt idx="2">
                  <c:v>Azerbaijan</c:v>
                </c:pt>
                <c:pt idx="3">
                  <c:v>Turkey</c:v>
                </c:pt>
                <c:pt idx="4">
                  <c:v>Montenegro</c:v>
                </c:pt>
                <c:pt idx="5">
                  <c:v>Armenia</c:v>
                </c:pt>
                <c:pt idx="6">
                  <c:v>Republic of Moldova</c:v>
                </c:pt>
                <c:pt idx="7">
                  <c:v>Kyrgyzstan</c:v>
                </c:pt>
                <c:pt idx="8">
                  <c:v>Ukraine</c:v>
                </c:pt>
                <c:pt idx="9">
                  <c:v>Kazakhstan</c:v>
                </c:pt>
                <c:pt idx="10">
                  <c:v>Albania</c:v>
                </c:pt>
                <c:pt idx="11">
                  <c:v>Georgia</c:v>
                </c:pt>
                <c:pt idx="12">
                  <c:v>Uzbekistan</c:v>
                </c:pt>
                <c:pt idx="13">
                  <c:v>TFYR Macedonia</c:v>
                </c:pt>
                <c:pt idx="14">
                  <c:v>Serbia</c:v>
                </c:pt>
                <c:pt idx="15">
                  <c:v>Belarus</c:v>
                </c:pt>
              </c:strCache>
            </c:strRef>
          </c:cat>
          <c:val>
            <c:numRef>
              <c:f>Figure31b!$I$8:$I$23</c:f>
              <c:numCache>
                <c:formatCode>General</c:formatCode>
                <c:ptCount val="16"/>
                <c:pt idx="0">
                  <c:v>81.7</c:v>
                </c:pt>
                <c:pt idx="1">
                  <c:v>86.4</c:v>
                </c:pt>
                <c:pt idx="2">
                  <c:v>81.5</c:v>
                </c:pt>
                <c:pt idx="3">
                  <c:v>98.5</c:v>
                </c:pt>
                <c:pt idx="4">
                  <c:v>97.5</c:v>
                </c:pt>
                <c:pt idx="5">
                  <c:v>99.7</c:v>
                </c:pt>
                <c:pt idx="6">
                  <c:v>99.6</c:v>
                </c:pt>
                <c:pt idx="7">
                  <c:v>97.7</c:v>
                </c:pt>
                <c:pt idx="8">
                  <c:v>98.8</c:v>
                </c:pt>
                <c:pt idx="9">
                  <c:v>98.8</c:v>
                </c:pt>
                <c:pt idx="10">
                  <c:v>99.0</c:v>
                </c:pt>
                <c:pt idx="11">
                  <c:v>97.6</c:v>
                </c:pt>
                <c:pt idx="12">
                  <c:v>99.7</c:v>
                </c:pt>
                <c:pt idx="13">
                  <c:v>98.3</c:v>
                </c:pt>
                <c:pt idx="14">
                  <c:v>100.0</c:v>
                </c:pt>
                <c:pt idx="15">
                  <c:v>100.0</c:v>
                </c:pt>
              </c:numCache>
            </c:numRef>
          </c:val>
        </c:ser>
        <c:ser>
          <c:idx val="3"/>
          <c:order val="3"/>
          <c:tx>
            <c:strRef>
              <c:f>Figure31b!$J$7</c:f>
              <c:strCache>
                <c:ptCount val="1"/>
                <c:pt idx="0">
                  <c:v>Fourth</c:v>
                </c:pt>
              </c:strCache>
            </c:strRef>
          </c:tx>
          <c:spPr>
            <a:solidFill>
              <a:srgbClr val="660066"/>
            </a:solidFill>
          </c:spPr>
          <c:invertIfNegative val="0"/>
          <c:cat>
            <c:strRef>
              <c:f>Figure31b!$B$8:$B$23</c:f>
              <c:strCache>
                <c:ptCount val="16"/>
                <c:pt idx="0">
                  <c:v>Tajikistan</c:v>
                </c:pt>
                <c:pt idx="1">
                  <c:v>Bosnia and Herzegovina</c:v>
                </c:pt>
                <c:pt idx="2">
                  <c:v>Azerbaijan</c:v>
                </c:pt>
                <c:pt idx="3">
                  <c:v>Turkey</c:v>
                </c:pt>
                <c:pt idx="4">
                  <c:v>Montenegro</c:v>
                </c:pt>
                <c:pt idx="5">
                  <c:v>Armenia</c:v>
                </c:pt>
                <c:pt idx="6">
                  <c:v>Republic of Moldova</c:v>
                </c:pt>
                <c:pt idx="7">
                  <c:v>Kyrgyzstan</c:v>
                </c:pt>
                <c:pt idx="8">
                  <c:v>Ukraine</c:v>
                </c:pt>
                <c:pt idx="9">
                  <c:v>Kazakhstan</c:v>
                </c:pt>
                <c:pt idx="10">
                  <c:v>Albania</c:v>
                </c:pt>
                <c:pt idx="11">
                  <c:v>Georgia</c:v>
                </c:pt>
                <c:pt idx="12">
                  <c:v>Uzbekistan</c:v>
                </c:pt>
                <c:pt idx="13">
                  <c:v>TFYR Macedonia</c:v>
                </c:pt>
                <c:pt idx="14">
                  <c:v>Serbia</c:v>
                </c:pt>
                <c:pt idx="15">
                  <c:v>Belarus</c:v>
                </c:pt>
              </c:strCache>
            </c:strRef>
          </c:cat>
          <c:val>
            <c:numRef>
              <c:f>Figure31b!$J$8:$J$23</c:f>
              <c:numCache>
                <c:formatCode>General</c:formatCode>
                <c:ptCount val="16"/>
                <c:pt idx="0">
                  <c:v>89.7</c:v>
                </c:pt>
                <c:pt idx="1">
                  <c:v>86.7</c:v>
                </c:pt>
                <c:pt idx="2">
                  <c:v>91.3</c:v>
                </c:pt>
                <c:pt idx="3">
                  <c:v>98.0</c:v>
                </c:pt>
                <c:pt idx="4">
                  <c:v>98.4</c:v>
                </c:pt>
                <c:pt idx="5">
                  <c:v>97.7</c:v>
                </c:pt>
                <c:pt idx="6">
                  <c:v>99.5</c:v>
                </c:pt>
                <c:pt idx="7">
                  <c:v>96.2</c:v>
                </c:pt>
                <c:pt idx="8">
                  <c:v>99.4</c:v>
                </c:pt>
                <c:pt idx="9">
                  <c:v>99.3</c:v>
                </c:pt>
                <c:pt idx="10">
                  <c:v>99.9</c:v>
                </c:pt>
                <c:pt idx="11">
                  <c:v>98.0</c:v>
                </c:pt>
                <c:pt idx="12">
                  <c:v>100.0</c:v>
                </c:pt>
                <c:pt idx="13">
                  <c:v>100.0</c:v>
                </c:pt>
                <c:pt idx="14">
                  <c:v>100.0</c:v>
                </c:pt>
                <c:pt idx="15">
                  <c:v>100.0</c:v>
                </c:pt>
              </c:numCache>
            </c:numRef>
          </c:val>
        </c:ser>
        <c:ser>
          <c:idx val="4"/>
          <c:order val="4"/>
          <c:tx>
            <c:strRef>
              <c:f>Figure31b!$K$7</c:f>
              <c:strCache>
                <c:ptCount val="1"/>
                <c:pt idx="0">
                  <c:v>Richest</c:v>
                </c:pt>
              </c:strCache>
            </c:strRef>
          </c:tx>
          <c:spPr>
            <a:solidFill>
              <a:srgbClr val="008000"/>
            </a:solidFill>
          </c:spPr>
          <c:invertIfNegative val="0"/>
          <c:cat>
            <c:strRef>
              <c:f>Figure31b!$B$8:$B$23</c:f>
              <c:strCache>
                <c:ptCount val="16"/>
                <c:pt idx="0">
                  <c:v>Tajikistan</c:v>
                </c:pt>
                <c:pt idx="1">
                  <c:v>Bosnia and Herzegovina</c:v>
                </c:pt>
                <c:pt idx="2">
                  <c:v>Azerbaijan</c:v>
                </c:pt>
                <c:pt idx="3">
                  <c:v>Turkey</c:v>
                </c:pt>
                <c:pt idx="4">
                  <c:v>Montenegro</c:v>
                </c:pt>
                <c:pt idx="5">
                  <c:v>Armenia</c:v>
                </c:pt>
                <c:pt idx="6">
                  <c:v>Republic of Moldova</c:v>
                </c:pt>
                <c:pt idx="7">
                  <c:v>Kyrgyzstan</c:v>
                </c:pt>
                <c:pt idx="8">
                  <c:v>Ukraine</c:v>
                </c:pt>
                <c:pt idx="9">
                  <c:v>Kazakhstan</c:v>
                </c:pt>
                <c:pt idx="10">
                  <c:v>Albania</c:v>
                </c:pt>
                <c:pt idx="11">
                  <c:v>Georgia</c:v>
                </c:pt>
                <c:pt idx="12">
                  <c:v>Uzbekistan</c:v>
                </c:pt>
                <c:pt idx="13">
                  <c:v>TFYR Macedonia</c:v>
                </c:pt>
                <c:pt idx="14">
                  <c:v>Serbia</c:v>
                </c:pt>
                <c:pt idx="15">
                  <c:v>Belarus</c:v>
                </c:pt>
              </c:strCache>
            </c:strRef>
          </c:cat>
          <c:val>
            <c:numRef>
              <c:f>Figure31b!$K$8:$K$23</c:f>
              <c:numCache>
                <c:formatCode>General</c:formatCode>
                <c:ptCount val="16"/>
                <c:pt idx="0">
                  <c:v>86.7</c:v>
                </c:pt>
                <c:pt idx="1">
                  <c:v>88.9</c:v>
                </c:pt>
                <c:pt idx="2">
                  <c:v>95.3</c:v>
                </c:pt>
                <c:pt idx="3">
                  <c:v>98.6</c:v>
                </c:pt>
                <c:pt idx="4">
                  <c:v>97.2</c:v>
                </c:pt>
                <c:pt idx="5">
                  <c:v>99.7</c:v>
                </c:pt>
                <c:pt idx="6">
                  <c:v>98.9</c:v>
                </c:pt>
                <c:pt idx="7">
                  <c:v>99.2</c:v>
                </c:pt>
                <c:pt idx="8">
                  <c:v>99.3</c:v>
                </c:pt>
                <c:pt idx="9">
                  <c:v>99.2</c:v>
                </c:pt>
                <c:pt idx="10">
                  <c:v>99.3</c:v>
                </c:pt>
                <c:pt idx="11">
                  <c:v>100.1</c:v>
                </c:pt>
                <c:pt idx="12">
                  <c:v>99.2</c:v>
                </c:pt>
                <c:pt idx="13">
                  <c:v>99.6</c:v>
                </c:pt>
                <c:pt idx="14">
                  <c:v>99.8</c:v>
                </c:pt>
                <c:pt idx="15">
                  <c:v>100.0</c:v>
                </c:pt>
              </c:numCache>
            </c:numRef>
          </c:val>
        </c:ser>
        <c:dLbls>
          <c:showLegendKey val="0"/>
          <c:showVal val="0"/>
          <c:showCatName val="0"/>
          <c:showSerName val="0"/>
          <c:showPercent val="0"/>
          <c:showBubbleSize val="0"/>
        </c:dLbls>
        <c:gapWidth val="150"/>
        <c:axId val="2089365360"/>
        <c:axId val="2089368496"/>
      </c:barChart>
      <c:catAx>
        <c:axId val="2089365360"/>
        <c:scaling>
          <c:orientation val="minMax"/>
        </c:scaling>
        <c:delete val="0"/>
        <c:axPos val="b"/>
        <c:numFmt formatCode="General" sourceLinked="1"/>
        <c:majorTickMark val="out"/>
        <c:minorTickMark val="none"/>
        <c:tickLblPos val="nextTo"/>
        <c:txPr>
          <a:bodyPr/>
          <a:lstStyle/>
          <a:p>
            <a:pPr>
              <a:defRPr>
                <a:solidFill>
                  <a:schemeClr val="tx1">
                    <a:lumMod val="95000"/>
                    <a:lumOff val="5000"/>
                  </a:schemeClr>
                </a:solidFill>
              </a:defRPr>
            </a:pPr>
            <a:endParaRPr lang="en-US"/>
          </a:p>
        </c:txPr>
        <c:crossAx val="2089368496"/>
        <c:crosses val="autoZero"/>
        <c:auto val="1"/>
        <c:lblAlgn val="ctr"/>
        <c:lblOffset val="100"/>
        <c:noMultiLvlLbl val="0"/>
      </c:catAx>
      <c:valAx>
        <c:axId val="2089368496"/>
        <c:scaling>
          <c:orientation val="minMax"/>
        </c:scaling>
        <c:delete val="0"/>
        <c:axPos val="l"/>
        <c:majorGridlines/>
        <c:numFmt formatCode="General" sourceLinked="1"/>
        <c:majorTickMark val="out"/>
        <c:minorTickMark val="none"/>
        <c:tickLblPos val="nextTo"/>
        <c:crossAx val="2089365360"/>
        <c:crosses val="autoZero"/>
        <c:crossBetween val="between"/>
        <c:majorUnit val="20.0"/>
        <c:minorUnit val="1.0"/>
      </c:valAx>
    </c:plotArea>
    <c:legend>
      <c:legendPos val="r"/>
      <c:overlay val="0"/>
    </c:legend>
    <c:plotVisOnly val="1"/>
    <c:dispBlanksAs val="gap"/>
    <c:showDLblsOverMax val="0"/>
  </c:chart>
  <c:printSettings>
    <c:headerFooter/>
    <c:pageMargins b="1.0" l="0.75" r="0.75" t="1.0" header="0.5" footer="0.5"/>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[8]Sheet1!$B$1</c:f>
              <c:strCache>
                <c:ptCount val="1"/>
                <c:pt idx="0">
                  <c:v>#REF!</c:v>
                </c:pt>
              </c:strCache>
            </c:strRef>
          </c:tx>
          <c:invertIfNegative val="0"/>
          <c:dPt>
            <c:idx val="4"/>
            <c:invertIfNegative val="0"/>
            <c:bubble3D val="0"/>
            <c:spPr>
              <a:solidFill>
                <a:schemeClr val="tx2">
                  <a:lumMod val="40000"/>
                  <a:lumOff val="60000"/>
                </a:schemeClr>
              </a:solidFill>
            </c:spPr>
          </c:dPt>
          <c:dPt>
            <c:idx val="8"/>
            <c:invertIfNegative val="0"/>
            <c:bubble3D val="0"/>
            <c:spPr>
              <a:solidFill>
                <a:schemeClr val="tx2">
                  <a:lumMod val="40000"/>
                  <a:lumOff val="60000"/>
                </a:schemeClr>
              </a:solidFill>
            </c:spPr>
          </c:dPt>
          <c:dPt>
            <c:idx val="16"/>
            <c:invertIfNegative val="0"/>
            <c:bubble3D val="0"/>
            <c:spPr>
              <a:solidFill>
                <a:schemeClr val="tx2">
                  <a:lumMod val="40000"/>
                  <a:lumOff val="60000"/>
                </a:schemeClr>
              </a:solidFill>
            </c:spPr>
          </c:dPt>
          <c:dPt>
            <c:idx val="18"/>
            <c:invertIfNegative val="0"/>
            <c:bubble3D val="0"/>
            <c:spPr>
              <a:solidFill>
                <a:schemeClr val="tx2">
                  <a:lumMod val="40000"/>
                  <a:lumOff val="60000"/>
                </a:schemeClr>
              </a:solidFill>
            </c:spPr>
          </c:dPt>
          <c:dPt>
            <c:idx val="27"/>
            <c:invertIfNegative val="0"/>
            <c:bubble3D val="0"/>
            <c:spPr>
              <a:solidFill>
                <a:schemeClr val="tx2">
                  <a:lumMod val="40000"/>
                  <a:lumOff val="60000"/>
                </a:schemeClr>
              </a:solidFill>
            </c:spPr>
          </c:dPt>
          <c:dPt>
            <c:idx val="28"/>
            <c:invertIfNegative val="0"/>
            <c:bubble3D val="0"/>
            <c:spPr>
              <a:solidFill>
                <a:schemeClr val="tx2">
                  <a:lumMod val="40000"/>
                  <a:lumOff val="60000"/>
                </a:schemeClr>
              </a:solidFill>
            </c:spPr>
          </c:dPt>
          <c:dPt>
            <c:idx val="31"/>
            <c:invertIfNegative val="0"/>
            <c:bubble3D val="0"/>
            <c:spPr>
              <a:solidFill>
                <a:schemeClr val="tx2">
                  <a:lumMod val="40000"/>
                  <a:lumOff val="60000"/>
                </a:schemeClr>
              </a:solidFill>
            </c:spPr>
          </c:dPt>
          <c:dPt>
            <c:idx val="33"/>
            <c:invertIfNegative val="0"/>
            <c:bubble3D val="0"/>
            <c:spPr>
              <a:solidFill>
                <a:schemeClr val="tx2">
                  <a:lumMod val="40000"/>
                  <a:lumOff val="60000"/>
                </a:schemeClr>
              </a:solidFill>
            </c:spPr>
          </c:dPt>
          <c:dPt>
            <c:idx val="35"/>
            <c:invertIfNegative val="0"/>
            <c:bubble3D val="0"/>
            <c:spPr>
              <a:solidFill>
                <a:schemeClr val="tx2">
                  <a:lumMod val="40000"/>
                  <a:lumOff val="60000"/>
                </a:schemeClr>
              </a:solidFill>
            </c:spPr>
          </c:dPt>
          <c:dPt>
            <c:idx val="36"/>
            <c:invertIfNegative val="0"/>
            <c:bubble3D val="0"/>
            <c:spPr>
              <a:solidFill>
                <a:schemeClr val="tx2">
                  <a:lumMod val="40000"/>
                  <a:lumOff val="60000"/>
                </a:schemeClr>
              </a:solidFill>
            </c:spPr>
          </c:dPt>
          <c:dPt>
            <c:idx val="37"/>
            <c:invertIfNegative val="0"/>
            <c:bubble3D val="0"/>
            <c:spPr>
              <a:solidFill>
                <a:schemeClr val="tx2">
                  <a:lumMod val="40000"/>
                  <a:lumOff val="60000"/>
                </a:schemeClr>
              </a:solidFill>
            </c:spPr>
          </c:dPt>
          <c:dPt>
            <c:idx val="39"/>
            <c:invertIfNegative val="0"/>
            <c:bubble3D val="0"/>
            <c:spPr>
              <a:solidFill>
                <a:schemeClr val="tx2">
                  <a:lumMod val="40000"/>
                  <a:lumOff val="60000"/>
                </a:schemeClr>
              </a:solidFill>
            </c:spPr>
          </c:dPt>
          <c:dPt>
            <c:idx val="40"/>
            <c:invertIfNegative val="0"/>
            <c:bubble3D val="0"/>
            <c:spPr>
              <a:solidFill>
                <a:schemeClr val="tx2">
                  <a:lumMod val="40000"/>
                  <a:lumOff val="60000"/>
                </a:schemeClr>
              </a:solidFill>
            </c:spPr>
          </c:dPt>
          <c:dPt>
            <c:idx val="42"/>
            <c:invertIfNegative val="0"/>
            <c:bubble3D val="0"/>
            <c:spPr>
              <a:solidFill>
                <a:schemeClr val="tx2">
                  <a:lumMod val="40000"/>
                  <a:lumOff val="60000"/>
                </a:schemeClr>
              </a:solidFill>
            </c:spPr>
          </c:dPt>
          <c:dPt>
            <c:idx val="43"/>
            <c:invertIfNegative val="0"/>
            <c:bubble3D val="0"/>
            <c:spPr>
              <a:solidFill>
                <a:schemeClr val="tx2">
                  <a:lumMod val="40000"/>
                  <a:lumOff val="60000"/>
                </a:schemeClr>
              </a:solidFill>
            </c:spPr>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[8]Sheet1!$A$2:$A$46</c:f>
              <c:numCache>
                <c:formatCode>General</c:formatCode>
                <c:ptCount val="45"/>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numCache>
            </c:numRef>
          </c:cat>
          <c:val>
            <c:numRef>
              <c:f>[8]Sheet1!$B$2:$B$46</c:f>
              <c:numCache>
                <c:formatCode>General</c:formatCode>
                <c:ptCount val="45"/>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numCache>
            </c:numRef>
          </c:val>
        </c:ser>
        <c:dLbls>
          <c:showLegendKey val="0"/>
          <c:showVal val="1"/>
          <c:showCatName val="0"/>
          <c:showSerName val="0"/>
          <c:showPercent val="0"/>
          <c:showBubbleSize val="0"/>
        </c:dLbls>
        <c:gapWidth val="75"/>
        <c:axId val="2090346768"/>
        <c:axId val="2090348704"/>
      </c:barChart>
      <c:catAx>
        <c:axId val="2090346768"/>
        <c:scaling>
          <c:orientation val="minMax"/>
        </c:scaling>
        <c:delete val="0"/>
        <c:axPos val="l"/>
        <c:numFmt formatCode="General" sourceLinked="0"/>
        <c:majorTickMark val="none"/>
        <c:minorTickMark val="none"/>
        <c:tickLblPos val="nextTo"/>
        <c:crossAx val="2090348704"/>
        <c:crosses val="autoZero"/>
        <c:auto val="1"/>
        <c:lblAlgn val="ctr"/>
        <c:lblOffset val="100"/>
        <c:noMultiLvlLbl val="0"/>
      </c:catAx>
      <c:valAx>
        <c:axId val="2090348704"/>
        <c:scaling>
          <c:orientation val="minMax"/>
        </c:scaling>
        <c:delete val="0"/>
        <c:axPos val="b"/>
        <c:numFmt formatCode="General" sourceLinked="1"/>
        <c:majorTickMark val="none"/>
        <c:minorTickMark val="none"/>
        <c:tickLblPos val="nextTo"/>
        <c:crossAx val="2090346768"/>
        <c:crosses val="autoZero"/>
        <c:crossBetween val="between"/>
      </c:valAx>
    </c:plotArea>
    <c:plotVisOnly val="1"/>
    <c:dispBlanksAs val="gap"/>
    <c:showDLblsOverMax val="0"/>
  </c:chart>
  <c:printSettings>
    <c:headerFooter/>
    <c:pageMargins b="1.0" l="0.75" r="0.75" t="1.0" header="0.5" footer="0.5"/>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bar"/>
        <c:grouping val="clustered"/>
        <c:varyColors val="0"/>
        <c:ser>
          <c:idx val="0"/>
          <c:order val="0"/>
          <c:tx>
            <c:v>Levels 0-2</c:v>
          </c:tx>
          <c:invertIfNegative val="0"/>
          <c:cat>
            <c:strRef>
              <c:f>Figure33!$A$127:$A$160</c:f>
              <c:strCache>
                <c:ptCount val="34"/>
                <c:pt idx="0">
                  <c:v>EU-27</c:v>
                </c:pt>
                <c:pt idx="1">
                  <c:v>Belgium</c:v>
                </c:pt>
                <c:pt idx="2">
                  <c:v>Bulgaria</c:v>
                </c:pt>
                <c:pt idx="3">
                  <c:v>Czech Republic</c:v>
                </c:pt>
                <c:pt idx="4">
                  <c:v>Denmark</c:v>
                </c:pt>
                <c:pt idx="5">
                  <c:v>Germany</c:v>
                </c:pt>
                <c:pt idx="6">
                  <c:v>Estonia</c:v>
                </c:pt>
                <c:pt idx="7">
                  <c:v>Ireland</c:v>
                </c:pt>
                <c:pt idx="8">
                  <c:v>Greece</c:v>
                </c:pt>
                <c:pt idx="9">
                  <c:v>Spain</c:v>
                </c:pt>
                <c:pt idx="10">
                  <c:v>France</c:v>
                </c:pt>
                <c:pt idx="11">
                  <c:v>Croatia</c:v>
                </c:pt>
                <c:pt idx="12">
                  <c:v>Italy</c:v>
                </c:pt>
                <c:pt idx="13">
                  <c:v>Cyprus</c:v>
                </c:pt>
                <c:pt idx="14">
                  <c:v>Latvia</c:v>
                </c:pt>
                <c:pt idx="15">
                  <c:v>Lithuania</c:v>
                </c:pt>
                <c:pt idx="16">
                  <c:v>Luxembourg</c:v>
                </c:pt>
                <c:pt idx="17">
                  <c:v>Hungary</c:v>
                </c:pt>
                <c:pt idx="18">
                  <c:v>Malta</c:v>
                </c:pt>
                <c:pt idx="19">
                  <c:v>Netherlands</c:v>
                </c:pt>
                <c:pt idx="20">
                  <c:v>Austria</c:v>
                </c:pt>
                <c:pt idx="21">
                  <c:v>Poland</c:v>
                </c:pt>
                <c:pt idx="22">
                  <c:v>Portugal</c:v>
                </c:pt>
                <c:pt idx="23">
                  <c:v>Romania</c:v>
                </c:pt>
                <c:pt idx="24">
                  <c:v>Slovenia</c:v>
                </c:pt>
                <c:pt idx="25">
                  <c:v>Slovakia</c:v>
                </c:pt>
                <c:pt idx="26">
                  <c:v>Finland</c:v>
                </c:pt>
                <c:pt idx="27">
                  <c:v>Sweden</c:v>
                </c:pt>
                <c:pt idx="28">
                  <c:v>United Kingdom</c:v>
                </c:pt>
                <c:pt idx="29">
                  <c:v>Iceland</c:v>
                </c:pt>
                <c:pt idx="30">
                  <c:v>Norway</c:v>
                </c:pt>
                <c:pt idx="31">
                  <c:v>Switzerland</c:v>
                </c:pt>
                <c:pt idx="32">
                  <c:v>Montenegro</c:v>
                </c:pt>
                <c:pt idx="33">
                  <c:v>Serbia</c:v>
                </c:pt>
              </c:strCache>
            </c:strRef>
          </c:cat>
          <c:val>
            <c:numRef>
              <c:f>Figure33!$B$14:$B$47</c:f>
              <c:numCache>
                <c:formatCode>#,##0.0</c:formatCode>
                <c:ptCount val="34"/>
                <c:pt idx="0">
                  <c:v>27.8</c:v>
                </c:pt>
                <c:pt idx="1">
                  <c:v>40.8</c:v>
                </c:pt>
                <c:pt idx="2">
                  <c:v>9.9</c:v>
                </c:pt>
                <c:pt idx="3">
                  <c:v>13.6</c:v>
                </c:pt>
                <c:pt idx="4">
                  <c:v>45.9</c:v>
                </c:pt>
                <c:pt idx="5">
                  <c:v>32.7</c:v>
                </c:pt>
                <c:pt idx="6">
                  <c:v>7.8</c:v>
                </c:pt>
                <c:pt idx="7">
                  <c:v>53.6</c:v>
                </c:pt>
                <c:pt idx="8">
                  <c:v>23.3</c:v>
                </c:pt>
                <c:pt idx="9">
                  <c:v>31.8</c:v>
                </c:pt>
                <c:pt idx="10">
                  <c:v>32.4</c:v>
                </c:pt>
                <c:pt idx="11">
                  <c:v>9.5</c:v>
                </c:pt>
                <c:pt idx="12">
                  <c:v>20.9</c:v>
                </c:pt>
                <c:pt idx="13">
                  <c:v>23.4</c:v>
                </c:pt>
                <c:pt idx="14">
                  <c:v>4.3</c:v>
                </c:pt>
                <c:pt idx="15">
                  <c:v>1.6</c:v>
                </c:pt>
                <c:pt idx="16">
                  <c:v>39.0</c:v>
                </c:pt>
                <c:pt idx="17">
                  <c:v>5.0</c:v>
                </c:pt>
                <c:pt idx="18">
                  <c:v>31.6</c:v>
                </c:pt>
                <c:pt idx="19">
                  <c:v>52.3</c:v>
                </c:pt>
                <c:pt idx="20">
                  <c:v>29.2</c:v>
                </c:pt>
                <c:pt idx="21">
                  <c:v>8.2</c:v>
                </c:pt>
                <c:pt idx="22">
                  <c:v>9.9</c:v>
                </c:pt>
                <c:pt idx="23">
                  <c:v>13.9</c:v>
                </c:pt>
                <c:pt idx="24">
                  <c:v>14.5</c:v>
                </c:pt>
                <c:pt idx="25">
                  <c:v>6.6</c:v>
                </c:pt>
                <c:pt idx="26">
                  <c:v>30.4</c:v>
                </c:pt>
                <c:pt idx="27">
                  <c:v>61.2</c:v>
                </c:pt>
                <c:pt idx="28">
                  <c:v>44.3</c:v>
                </c:pt>
                <c:pt idx="29">
                  <c:v>44.4</c:v>
                </c:pt>
                <c:pt idx="30">
                  <c:v>50.8</c:v>
                </c:pt>
                <c:pt idx="31">
                  <c:v>56.7</c:v>
                </c:pt>
                <c:pt idx="32">
                  <c:v>11.7</c:v>
                </c:pt>
                <c:pt idx="33">
                  <c:v>8.5</c:v>
                </c:pt>
              </c:numCache>
            </c:numRef>
          </c:val>
        </c:ser>
        <c:ser>
          <c:idx val="1"/>
          <c:order val="1"/>
          <c:tx>
            <c:v>Levels 3-4</c:v>
          </c:tx>
          <c:invertIfNegative val="0"/>
          <c:cat>
            <c:strRef>
              <c:f>Figure33!$A$127:$A$160</c:f>
              <c:strCache>
                <c:ptCount val="34"/>
                <c:pt idx="0">
                  <c:v>EU-27</c:v>
                </c:pt>
                <c:pt idx="1">
                  <c:v>Belgium</c:v>
                </c:pt>
                <c:pt idx="2">
                  <c:v>Bulgaria</c:v>
                </c:pt>
                <c:pt idx="3">
                  <c:v>Czech Republic</c:v>
                </c:pt>
                <c:pt idx="4">
                  <c:v>Denmark</c:v>
                </c:pt>
                <c:pt idx="5">
                  <c:v>Germany</c:v>
                </c:pt>
                <c:pt idx="6">
                  <c:v>Estonia</c:v>
                </c:pt>
                <c:pt idx="7">
                  <c:v>Ireland</c:v>
                </c:pt>
                <c:pt idx="8">
                  <c:v>Greece</c:v>
                </c:pt>
                <c:pt idx="9">
                  <c:v>Spain</c:v>
                </c:pt>
                <c:pt idx="10">
                  <c:v>France</c:v>
                </c:pt>
                <c:pt idx="11">
                  <c:v>Croatia</c:v>
                </c:pt>
                <c:pt idx="12">
                  <c:v>Italy</c:v>
                </c:pt>
                <c:pt idx="13">
                  <c:v>Cyprus</c:v>
                </c:pt>
                <c:pt idx="14">
                  <c:v>Latvia</c:v>
                </c:pt>
                <c:pt idx="15">
                  <c:v>Lithuania</c:v>
                </c:pt>
                <c:pt idx="16">
                  <c:v>Luxembourg</c:v>
                </c:pt>
                <c:pt idx="17">
                  <c:v>Hungary</c:v>
                </c:pt>
                <c:pt idx="18">
                  <c:v>Malta</c:v>
                </c:pt>
                <c:pt idx="19">
                  <c:v>Netherlands</c:v>
                </c:pt>
                <c:pt idx="20">
                  <c:v>Austria</c:v>
                </c:pt>
                <c:pt idx="21">
                  <c:v>Poland</c:v>
                </c:pt>
                <c:pt idx="22">
                  <c:v>Portugal</c:v>
                </c:pt>
                <c:pt idx="23">
                  <c:v>Romania</c:v>
                </c:pt>
                <c:pt idx="24">
                  <c:v>Slovenia</c:v>
                </c:pt>
                <c:pt idx="25">
                  <c:v>Slovakia</c:v>
                </c:pt>
                <c:pt idx="26">
                  <c:v>Finland</c:v>
                </c:pt>
                <c:pt idx="27">
                  <c:v>Sweden</c:v>
                </c:pt>
                <c:pt idx="28">
                  <c:v>United Kingdom</c:v>
                </c:pt>
                <c:pt idx="29">
                  <c:v>Iceland</c:v>
                </c:pt>
                <c:pt idx="30">
                  <c:v>Norway</c:v>
                </c:pt>
                <c:pt idx="31">
                  <c:v>Switzerland</c:v>
                </c:pt>
                <c:pt idx="32">
                  <c:v>Montenegro</c:v>
                </c:pt>
                <c:pt idx="33">
                  <c:v>Serbia</c:v>
                </c:pt>
              </c:strCache>
            </c:strRef>
          </c:cat>
          <c:val>
            <c:numRef>
              <c:f>Figure33!$B$71:$B$104</c:f>
              <c:numCache>
                <c:formatCode>#,##0.0</c:formatCode>
                <c:ptCount val="34"/>
                <c:pt idx="0">
                  <c:v>41.0</c:v>
                </c:pt>
                <c:pt idx="1">
                  <c:v>53.9</c:v>
                </c:pt>
                <c:pt idx="2">
                  <c:v>23.1</c:v>
                </c:pt>
                <c:pt idx="3">
                  <c:v>21.1</c:v>
                </c:pt>
                <c:pt idx="4">
                  <c:v>63.8</c:v>
                </c:pt>
                <c:pt idx="5">
                  <c:v>43.9</c:v>
                </c:pt>
                <c:pt idx="6">
                  <c:v>13.6</c:v>
                </c:pt>
                <c:pt idx="7">
                  <c:v>68.8</c:v>
                </c:pt>
                <c:pt idx="8">
                  <c:v>52.0</c:v>
                </c:pt>
                <c:pt idx="9">
                  <c:v>63.3</c:v>
                </c:pt>
                <c:pt idx="10">
                  <c:v>43.9</c:v>
                </c:pt>
                <c:pt idx="11">
                  <c:v>17.3</c:v>
                </c:pt>
                <c:pt idx="12">
                  <c:v>39.5</c:v>
                </c:pt>
                <c:pt idx="13">
                  <c:v>47.6</c:v>
                </c:pt>
                <c:pt idx="14">
                  <c:v>8.1</c:v>
                </c:pt>
                <c:pt idx="15">
                  <c:v>2.5</c:v>
                </c:pt>
                <c:pt idx="16">
                  <c:v>54.5</c:v>
                </c:pt>
                <c:pt idx="17">
                  <c:v>15.2</c:v>
                </c:pt>
                <c:pt idx="18">
                  <c:v>41.8</c:v>
                </c:pt>
                <c:pt idx="19">
                  <c:v>53.4</c:v>
                </c:pt>
                <c:pt idx="20">
                  <c:v>45.9</c:v>
                </c:pt>
                <c:pt idx="21">
                  <c:v>15.9</c:v>
                </c:pt>
                <c:pt idx="22">
                  <c:v>26.6</c:v>
                </c:pt>
                <c:pt idx="23">
                  <c:v>20.7</c:v>
                </c:pt>
                <c:pt idx="24">
                  <c:v>28.5</c:v>
                </c:pt>
                <c:pt idx="25">
                  <c:v>21.9</c:v>
                </c:pt>
                <c:pt idx="26">
                  <c:v>36.0</c:v>
                </c:pt>
                <c:pt idx="27">
                  <c:v>65.5</c:v>
                </c:pt>
                <c:pt idx="28">
                  <c:v>68.0</c:v>
                </c:pt>
                <c:pt idx="29">
                  <c:v>57.2</c:v>
                </c:pt>
                <c:pt idx="30">
                  <c:v>65.7</c:v>
                </c:pt>
                <c:pt idx="31">
                  <c:v>66.9</c:v>
                </c:pt>
                <c:pt idx="32">
                  <c:v>24.4</c:v>
                </c:pt>
                <c:pt idx="33">
                  <c:v>15.1</c:v>
                </c:pt>
              </c:numCache>
            </c:numRef>
          </c:val>
        </c:ser>
        <c:ser>
          <c:idx val="2"/>
          <c:order val="2"/>
          <c:tx>
            <c:v>Levels 5-6</c:v>
          </c:tx>
          <c:invertIfNegative val="0"/>
          <c:cat>
            <c:strRef>
              <c:f>Figure33!$A$127:$A$160</c:f>
              <c:strCache>
                <c:ptCount val="34"/>
                <c:pt idx="0">
                  <c:v>EU-27</c:v>
                </c:pt>
                <c:pt idx="1">
                  <c:v>Belgium</c:v>
                </c:pt>
                <c:pt idx="2">
                  <c:v>Bulgaria</c:v>
                </c:pt>
                <c:pt idx="3">
                  <c:v>Czech Republic</c:v>
                </c:pt>
                <c:pt idx="4">
                  <c:v>Denmark</c:v>
                </c:pt>
                <c:pt idx="5">
                  <c:v>Germany</c:v>
                </c:pt>
                <c:pt idx="6">
                  <c:v>Estonia</c:v>
                </c:pt>
                <c:pt idx="7">
                  <c:v>Ireland</c:v>
                </c:pt>
                <c:pt idx="8">
                  <c:v>Greece</c:v>
                </c:pt>
                <c:pt idx="9">
                  <c:v>Spain</c:v>
                </c:pt>
                <c:pt idx="10">
                  <c:v>France</c:v>
                </c:pt>
                <c:pt idx="11">
                  <c:v>Croatia</c:v>
                </c:pt>
                <c:pt idx="12">
                  <c:v>Italy</c:v>
                </c:pt>
                <c:pt idx="13">
                  <c:v>Cyprus</c:v>
                </c:pt>
                <c:pt idx="14">
                  <c:v>Latvia</c:v>
                </c:pt>
                <c:pt idx="15">
                  <c:v>Lithuania</c:v>
                </c:pt>
                <c:pt idx="16">
                  <c:v>Luxembourg</c:v>
                </c:pt>
                <c:pt idx="17">
                  <c:v>Hungary</c:v>
                </c:pt>
                <c:pt idx="18">
                  <c:v>Malta</c:v>
                </c:pt>
                <c:pt idx="19">
                  <c:v>Netherlands</c:v>
                </c:pt>
                <c:pt idx="20">
                  <c:v>Austria</c:v>
                </c:pt>
                <c:pt idx="21">
                  <c:v>Poland</c:v>
                </c:pt>
                <c:pt idx="22">
                  <c:v>Portugal</c:v>
                </c:pt>
                <c:pt idx="23">
                  <c:v>Romania</c:v>
                </c:pt>
                <c:pt idx="24">
                  <c:v>Slovenia</c:v>
                </c:pt>
                <c:pt idx="25">
                  <c:v>Slovakia</c:v>
                </c:pt>
                <c:pt idx="26">
                  <c:v>Finland</c:v>
                </c:pt>
                <c:pt idx="27">
                  <c:v>Sweden</c:v>
                </c:pt>
                <c:pt idx="28">
                  <c:v>United Kingdom</c:v>
                </c:pt>
                <c:pt idx="29">
                  <c:v>Iceland</c:v>
                </c:pt>
                <c:pt idx="30">
                  <c:v>Norway</c:v>
                </c:pt>
                <c:pt idx="31">
                  <c:v>Switzerland</c:v>
                </c:pt>
                <c:pt idx="32">
                  <c:v>Montenegro</c:v>
                </c:pt>
                <c:pt idx="33">
                  <c:v>Serbia</c:v>
                </c:pt>
              </c:strCache>
            </c:strRef>
          </c:cat>
          <c:val>
            <c:numRef>
              <c:f>Figure33!$B$127:$B$160</c:f>
              <c:numCache>
                <c:formatCode>#,##0.0</c:formatCode>
                <c:ptCount val="34"/>
                <c:pt idx="0">
                  <c:v>52.8</c:v>
                </c:pt>
                <c:pt idx="1">
                  <c:v>65.4</c:v>
                </c:pt>
                <c:pt idx="2">
                  <c:v>25.9</c:v>
                </c:pt>
                <c:pt idx="3">
                  <c:v>37.0</c:v>
                </c:pt>
                <c:pt idx="4">
                  <c:v>69.2</c:v>
                </c:pt>
                <c:pt idx="5">
                  <c:v>48.8</c:v>
                </c:pt>
                <c:pt idx="6">
                  <c:v>14.7</c:v>
                </c:pt>
                <c:pt idx="7">
                  <c:v>76.9</c:v>
                </c:pt>
                <c:pt idx="8">
                  <c:v>51.1</c:v>
                </c:pt>
                <c:pt idx="9">
                  <c:v>68.3</c:v>
                </c:pt>
                <c:pt idx="10">
                  <c:v>60.0</c:v>
                </c:pt>
                <c:pt idx="11">
                  <c:v>26.3</c:v>
                </c:pt>
                <c:pt idx="12">
                  <c:v>43.2</c:v>
                </c:pt>
                <c:pt idx="13">
                  <c:v>64.8</c:v>
                </c:pt>
                <c:pt idx="14">
                  <c:v>15.8</c:v>
                </c:pt>
                <c:pt idx="15">
                  <c:v>11.0</c:v>
                </c:pt>
                <c:pt idx="16">
                  <c:v>65.7</c:v>
                </c:pt>
                <c:pt idx="17">
                  <c:v>24.3</c:v>
                </c:pt>
                <c:pt idx="18">
                  <c:v>45.7</c:v>
                </c:pt>
                <c:pt idx="19">
                  <c:v>65.9</c:v>
                </c:pt>
                <c:pt idx="20">
                  <c:v>65.3</c:v>
                </c:pt>
                <c:pt idx="21">
                  <c:v>25.9</c:v>
                </c:pt>
                <c:pt idx="22">
                  <c:v>37.0</c:v>
                </c:pt>
                <c:pt idx="23">
                  <c:v>26.6</c:v>
                </c:pt>
                <c:pt idx="24">
                  <c:v>47.6</c:v>
                </c:pt>
                <c:pt idx="25">
                  <c:v>34.7</c:v>
                </c:pt>
                <c:pt idx="26">
                  <c:v>50.9</c:v>
                </c:pt>
                <c:pt idx="27">
                  <c:v>71.7</c:v>
                </c:pt>
                <c:pt idx="28">
                  <c:v>65.0</c:v>
                </c:pt>
                <c:pt idx="29">
                  <c:v>59.2</c:v>
                </c:pt>
                <c:pt idx="30">
                  <c:v>73.0</c:v>
                </c:pt>
                <c:pt idx="31">
                  <c:v>71.1</c:v>
                </c:pt>
                <c:pt idx="32">
                  <c:v>26.9</c:v>
                </c:pt>
                <c:pt idx="33">
                  <c:v>29.2</c:v>
                </c:pt>
              </c:numCache>
            </c:numRef>
          </c:val>
        </c:ser>
        <c:dLbls>
          <c:showLegendKey val="0"/>
          <c:showVal val="0"/>
          <c:showCatName val="0"/>
          <c:showSerName val="0"/>
          <c:showPercent val="0"/>
          <c:showBubbleSize val="0"/>
        </c:dLbls>
        <c:gapWidth val="150"/>
        <c:axId val="2090393072"/>
        <c:axId val="2090396400"/>
      </c:barChart>
      <c:catAx>
        <c:axId val="2090393072"/>
        <c:scaling>
          <c:orientation val="minMax"/>
        </c:scaling>
        <c:delete val="0"/>
        <c:axPos val="l"/>
        <c:numFmt formatCode="General" sourceLinked="1"/>
        <c:majorTickMark val="out"/>
        <c:minorTickMark val="none"/>
        <c:tickLblPos val="nextTo"/>
        <c:crossAx val="2090396400"/>
        <c:crosses val="autoZero"/>
        <c:auto val="1"/>
        <c:lblAlgn val="ctr"/>
        <c:lblOffset val="100"/>
        <c:noMultiLvlLbl val="0"/>
      </c:catAx>
      <c:valAx>
        <c:axId val="2090396400"/>
        <c:scaling>
          <c:orientation val="minMax"/>
        </c:scaling>
        <c:delete val="0"/>
        <c:axPos val="b"/>
        <c:majorGridlines/>
        <c:numFmt formatCode="#,##0.0" sourceLinked="1"/>
        <c:majorTickMark val="out"/>
        <c:minorTickMark val="none"/>
        <c:tickLblPos val="nextTo"/>
        <c:crossAx val="2090393072"/>
        <c:crosses val="autoZero"/>
        <c:crossBetween val="between"/>
      </c:valAx>
    </c:plotArea>
    <c:legend>
      <c:legendPos val="r"/>
      <c:overlay val="0"/>
    </c:legend>
    <c:plotVisOnly val="1"/>
    <c:dispBlanksAs val="gap"/>
    <c:showDLblsOverMax val="0"/>
  </c:chart>
  <c:printSettings>
    <c:headerFooter/>
    <c:pageMargins b="1.0" l="0.75" r="0.75" t="1.0" header="0.5" footer="0.5"/>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ser>
          <c:idx val="0"/>
          <c:order val="0"/>
          <c:tx>
            <c:v>Bad and very bad Q1</c:v>
          </c:tx>
          <c:invertIfNegative val="0"/>
          <c:cat>
            <c:numRef>
              <c:f>[9]Data!$A$234:$A$266</c:f>
              <c:numCache>
                <c:formatCode>General</c:formatCode>
                <c:ptCount val="33"/>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numCache>
            </c:numRef>
          </c:cat>
          <c:val>
            <c:numRef>
              <c:f>[9]Data!$B$124:$B$156</c:f>
              <c:numCache>
                <c:formatCode>General</c:formatCode>
                <c:ptCount val="33"/>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numCache>
            </c:numRef>
          </c:val>
        </c:ser>
        <c:ser>
          <c:idx val="1"/>
          <c:order val="1"/>
          <c:tx>
            <c:v>Bad and very bad Q5</c:v>
          </c:tx>
          <c:invertIfNegative val="0"/>
          <c:cat>
            <c:numRef>
              <c:f>[9]Data!$A$234:$A$266</c:f>
              <c:numCache>
                <c:formatCode>General</c:formatCode>
                <c:ptCount val="33"/>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numCache>
            </c:numRef>
          </c:cat>
          <c:val>
            <c:numRef>
              <c:f>[9]Data!$B$234:$B$266</c:f>
              <c:numCache>
                <c:formatCode>General</c:formatCode>
                <c:ptCount val="33"/>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numCache>
            </c:numRef>
          </c:val>
        </c:ser>
        <c:dLbls>
          <c:showLegendKey val="0"/>
          <c:showVal val="0"/>
          <c:showCatName val="0"/>
          <c:showSerName val="0"/>
          <c:showPercent val="0"/>
          <c:showBubbleSize val="0"/>
        </c:dLbls>
        <c:gapWidth val="150"/>
        <c:axId val="2090417744"/>
        <c:axId val="2090424448"/>
      </c:barChart>
      <c:catAx>
        <c:axId val="2090417744"/>
        <c:scaling>
          <c:orientation val="minMax"/>
        </c:scaling>
        <c:delete val="0"/>
        <c:axPos val="b"/>
        <c:numFmt formatCode="General" sourceLinked="0"/>
        <c:majorTickMark val="out"/>
        <c:minorTickMark val="none"/>
        <c:tickLblPos val="nextTo"/>
        <c:crossAx val="2090424448"/>
        <c:crosses val="autoZero"/>
        <c:auto val="1"/>
        <c:lblAlgn val="ctr"/>
        <c:lblOffset val="100"/>
        <c:noMultiLvlLbl val="0"/>
      </c:catAx>
      <c:valAx>
        <c:axId val="2090424448"/>
        <c:scaling>
          <c:orientation val="minMax"/>
        </c:scaling>
        <c:delete val="0"/>
        <c:axPos val="l"/>
        <c:majorGridlines/>
        <c:numFmt formatCode="General" sourceLinked="1"/>
        <c:majorTickMark val="out"/>
        <c:minorTickMark val="none"/>
        <c:tickLblPos val="nextTo"/>
        <c:crossAx val="2090417744"/>
        <c:crosses val="autoZero"/>
        <c:crossBetween val="between"/>
      </c:valAx>
    </c:plotArea>
    <c:legend>
      <c:legendPos val="r"/>
      <c:overlay val="0"/>
    </c:legend>
    <c:plotVisOnly val="1"/>
    <c:dispBlanksAs val="gap"/>
    <c:showDLblsOverMax val="0"/>
  </c:chart>
  <c:printSettings>
    <c:headerFooter/>
    <c:pageMargins b="1.0" l="0.75" r="0.75" t="1.0" header="0.5" footer="0.5"/>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ser>
          <c:idx val="0"/>
          <c:order val="0"/>
          <c:tx>
            <c:v>Q1 Very good-good</c:v>
          </c:tx>
          <c:invertIfNegative val="0"/>
          <c:cat>
            <c:strRef>
              <c:f>Figure34!$A$14:$A$46</c:f>
              <c:strCache>
                <c:ptCount val="33"/>
                <c:pt idx="0">
                  <c:v>Lithuania</c:v>
                </c:pt>
                <c:pt idx="1">
                  <c:v>Portugal</c:v>
                </c:pt>
                <c:pt idx="2">
                  <c:v>Latvia</c:v>
                </c:pt>
                <c:pt idx="3">
                  <c:v>Hungary</c:v>
                </c:pt>
                <c:pt idx="4">
                  <c:v>Poland</c:v>
                </c:pt>
                <c:pt idx="5">
                  <c:v>Croatia</c:v>
                </c:pt>
                <c:pt idx="6">
                  <c:v>Montenegro</c:v>
                </c:pt>
                <c:pt idx="7">
                  <c:v>Estonia</c:v>
                </c:pt>
                <c:pt idx="8">
                  <c:v>Bulgaria</c:v>
                </c:pt>
                <c:pt idx="9">
                  <c:v>Romania</c:v>
                </c:pt>
                <c:pt idx="10">
                  <c:v>Slovenia</c:v>
                </c:pt>
                <c:pt idx="11">
                  <c:v>Czech Republic</c:v>
                </c:pt>
                <c:pt idx="12">
                  <c:v>Slovakia</c:v>
                </c:pt>
                <c:pt idx="13">
                  <c:v>Cyprus</c:v>
                </c:pt>
                <c:pt idx="14">
                  <c:v>Italy</c:v>
                </c:pt>
                <c:pt idx="15">
                  <c:v>Greece</c:v>
                </c:pt>
                <c:pt idx="16">
                  <c:v>Malta</c:v>
                </c:pt>
                <c:pt idx="17">
                  <c:v>Spain</c:v>
                </c:pt>
                <c:pt idx="18">
                  <c:v>Finland</c:v>
                </c:pt>
                <c:pt idx="19">
                  <c:v>EU27a</c:v>
                </c:pt>
                <c:pt idx="20">
                  <c:v>France</c:v>
                </c:pt>
                <c:pt idx="21">
                  <c:v>Germany</c:v>
                </c:pt>
                <c:pt idx="22">
                  <c:v>Austria</c:v>
                </c:pt>
                <c:pt idx="23">
                  <c:v>Luxembourg</c:v>
                </c:pt>
                <c:pt idx="24">
                  <c:v>Belgium</c:v>
                </c:pt>
                <c:pt idx="25">
                  <c:v>Iceland</c:v>
                </c:pt>
                <c:pt idx="26">
                  <c:v>Norway</c:v>
                </c:pt>
                <c:pt idx="27">
                  <c:v>Netherlands</c:v>
                </c:pt>
                <c:pt idx="28">
                  <c:v>Denmark</c:v>
                </c:pt>
                <c:pt idx="29">
                  <c:v>United Kingdom</c:v>
                </c:pt>
                <c:pt idx="30">
                  <c:v>Sweden</c:v>
                </c:pt>
                <c:pt idx="31">
                  <c:v>Switzerland</c:v>
                </c:pt>
                <c:pt idx="32">
                  <c:v>Ireland</c:v>
                </c:pt>
              </c:strCache>
            </c:strRef>
          </c:cat>
          <c:val>
            <c:numRef>
              <c:f>Figure34!$B$14:$B$46</c:f>
              <c:numCache>
                <c:formatCode>#,##0.0</c:formatCode>
                <c:ptCount val="33"/>
                <c:pt idx="0">
                  <c:v>0.7</c:v>
                </c:pt>
                <c:pt idx="1">
                  <c:v>4.8</c:v>
                </c:pt>
                <c:pt idx="2">
                  <c:v>6.7</c:v>
                </c:pt>
                <c:pt idx="3">
                  <c:v>7.8</c:v>
                </c:pt>
                <c:pt idx="4">
                  <c:v>8.1</c:v>
                </c:pt>
                <c:pt idx="5">
                  <c:v>8.6</c:v>
                </c:pt>
                <c:pt idx="6">
                  <c:v>9.6</c:v>
                </c:pt>
                <c:pt idx="7">
                  <c:v>9.8</c:v>
                </c:pt>
                <c:pt idx="8">
                  <c:v>12.9</c:v>
                </c:pt>
                <c:pt idx="9">
                  <c:v>13.0</c:v>
                </c:pt>
                <c:pt idx="10">
                  <c:v>13.5</c:v>
                </c:pt>
                <c:pt idx="11">
                  <c:v>13.7</c:v>
                </c:pt>
                <c:pt idx="12">
                  <c:v>13.7</c:v>
                </c:pt>
                <c:pt idx="13">
                  <c:v>18.3</c:v>
                </c:pt>
                <c:pt idx="14">
                  <c:v>18.9</c:v>
                </c:pt>
                <c:pt idx="15">
                  <c:v>19.6</c:v>
                </c:pt>
                <c:pt idx="16">
                  <c:v>25.1</c:v>
                </c:pt>
                <c:pt idx="17">
                  <c:v>25.6</c:v>
                </c:pt>
                <c:pt idx="18">
                  <c:v>27.4</c:v>
                </c:pt>
                <c:pt idx="19">
                  <c:v>29.1</c:v>
                </c:pt>
                <c:pt idx="20">
                  <c:v>29.7</c:v>
                </c:pt>
                <c:pt idx="21">
                  <c:v>31.8</c:v>
                </c:pt>
                <c:pt idx="22">
                  <c:v>33.1</c:v>
                </c:pt>
                <c:pt idx="23">
                  <c:v>36.2</c:v>
                </c:pt>
                <c:pt idx="24">
                  <c:v>37.0</c:v>
                </c:pt>
                <c:pt idx="25">
                  <c:v>42.5</c:v>
                </c:pt>
                <c:pt idx="26">
                  <c:v>46.8</c:v>
                </c:pt>
                <c:pt idx="27">
                  <c:v>51.1</c:v>
                </c:pt>
                <c:pt idx="28">
                  <c:v>52.7</c:v>
                </c:pt>
                <c:pt idx="29">
                  <c:v>53.0</c:v>
                </c:pt>
                <c:pt idx="30">
                  <c:v>53.4</c:v>
                </c:pt>
                <c:pt idx="31">
                  <c:v>57.0</c:v>
                </c:pt>
                <c:pt idx="32">
                  <c:v>59.8</c:v>
                </c:pt>
              </c:numCache>
            </c:numRef>
          </c:val>
        </c:ser>
        <c:ser>
          <c:idx val="1"/>
          <c:order val="1"/>
          <c:tx>
            <c:v>Q5 Very good-good</c:v>
          </c:tx>
          <c:invertIfNegative val="0"/>
          <c:cat>
            <c:strRef>
              <c:f>Figure34!$A$14:$A$46</c:f>
              <c:strCache>
                <c:ptCount val="33"/>
                <c:pt idx="0">
                  <c:v>Lithuania</c:v>
                </c:pt>
                <c:pt idx="1">
                  <c:v>Portugal</c:v>
                </c:pt>
                <c:pt idx="2">
                  <c:v>Latvia</c:v>
                </c:pt>
                <c:pt idx="3">
                  <c:v>Hungary</c:v>
                </c:pt>
                <c:pt idx="4">
                  <c:v>Poland</c:v>
                </c:pt>
                <c:pt idx="5">
                  <c:v>Croatia</c:v>
                </c:pt>
                <c:pt idx="6">
                  <c:v>Montenegro</c:v>
                </c:pt>
                <c:pt idx="7">
                  <c:v>Estonia</c:v>
                </c:pt>
                <c:pt idx="8">
                  <c:v>Bulgaria</c:v>
                </c:pt>
                <c:pt idx="9">
                  <c:v>Romania</c:v>
                </c:pt>
                <c:pt idx="10">
                  <c:v>Slovenia</c:v>
                </c:pt>
                <c:pt idx="11">
                  <c:v>Czech Republic</c:v>
                </c:pt>
                <c:pt idx="12">
                  <c:v>Slovakia</c:v>
                </c:pt>
                <c:pt idx="13">
                  <c:v>Cyprus</c:v>
                </c:pt>
                <c:pt idx="14">
                  <c:v>Italy</c:v>
                </c:pt>
                <c:pt idx="15">
                  <c:v>Greece</c:v>
                </c:pt>
                <c:pt idx="16">
                  <c:v>Malta</c:v>
                </c:pt>
                <c:pt idx="17">
                  <c:v>Spain</c:v>
                </c:pt>
                <c:pt idx="18">
                  <c:v>Finland</c:v>
                </c:pt>
                <c:pt idx="19">
                  <c:v>EU27a</c:v>
                </c:pt>
                <c:pt idx="20">
                  <c:v>France</c:v>
                </c:pt>
                <c:pt idx="21">
                  <c:v>Germany</c:v>
                </c:pt>
                <c:pt idx="22">
                  <c:v>Austria</c:v>
                </c:pt>
                <c:pt idx="23">
                  <c:v>Luxembourg</c:v>
                </c:pt>
                <c:pt idx="24">
                  <c:v>Belgium</c:v>
                </c:pt>
                <c:pt idx="25">
                  <c:v>Iceland</c:v>
                </c:pt>
                <c:pt idx="26">
                  <c:v>Norway</c:v>
                </c:pt>
                <c:pt idx="27">
                  <c:v>Netherlands</c:v>
                </c:pt>
                <c:pt idx="28">
                  <c:v>Denmark</c:v>
                </c:pt>
                <c:pt idx="29">
                  <c:v>United Kingdom</c:v>
                </c:pt>
                <c:pt idx="30">
                  <c:v>Sweden</c:v>
                </c:pt>
                <c:pt idx="31">
                  <c:v>Switzerland</c:v>
                </c:pt>
                <c:pt idx="32">
                  <c:v>Ireland</c:v>
                </c:pt>
              </c:strCache>
            </c:strRef>
          </c:cat>
          <c:val>
            <c:numRef>
              <c:f>Figure34!$C$14:$C$46</c:f>
              <c:numCache>
                <c:formatCode>#,##0.0</c:formatCode>
                <c:ptCount val="33"/>
                <c:pt idx="0">
                  <c:v>12.9</c:v>
                </c:pt>
                <c:pt idx="1">
                  <c:v>23.2</c:v>
                </c:pt>
                <c:pt idx="2">
                  <c:v>17.2</c:v>
                </c:pt>
                <c:pt idx="3">
                  <c:v>18.8</c:v>
                </c:pt>
                <c:pt idx="4">
                  <c:v>21.2</c:v>
                </c:pt>
                <c:pt idx="5">
                  <c:v>25.3</c:v>
                </c:pt>
                <c:pt idx="6">
                  <c:v>23.3</c:v>
                </c:pt>
                <c:pt idx="7">
                  <c:v>33.8</c:v>
                </c:pt>
                <c:pt idx="8">
                  <c:v>26.9</c:v>
                </c:pt>
                <c:pt idx="9">
                  <c:v>24.6</c:v>
                </c:pt>
                <c:pt idx="10">
                  <c:v>45.9</c:v>
                </c:pt>
                <c:pt idx="11">
                  <c:v>37.1</c:v>
                </c:pt>
                <c:pt idx="12">
                  <c:v>17.2</c:v>
                </c:pt>
                <c:pt idx="13">
                  <c:v>55.6</c:v>
                </c:pt>
                <c:pt idx="14">
                  <c:v>37.1</c:v>
                </c:pt>
                <c:pt idx="15">
                  <c:v>46.8</c:v>
                </c:pt>
                <c:pt idx="16">
                  <c:v>51.9</c:v>
                </c:pt>
                <c:pt idx="17">
                  <c:v>52.3</c:v>
                </c:pt>
                <c:pt idx="18">
                  <c:v>60.8</c:v>
                </c:pt>
                <c:pt idx="19">
                  <c:v>47.3</c:v>
                </c:pt>
                <c:pt idx="20">
                  <c:v>50.0</c:v>
                </c:pt>
                <c:pt idx="21">
                  <c:v>53.2</c:v>
                </c:pt>
                <c:pt idx="22">
                  <c:v>50.6</c:v>
                </c:pt>
                <c:pt idx="23">
                  <c:v>52.8</c:v>
                </c:pt>
                <c:pt idx="24">
                  <c:v>62.9</c:v>
                </c:pt>
                <c:pt idx="25">
                  <c:v>59.5</c:v>
                </c:pt>
                <c:pt idx="26">
                  <c:v>85.6</c:v>
                </c:pt>
                <c:pt idx="27">
                  <c:v>68.5</c:v>
                </c:pt>
                <c:pt idx="28">
                  <c:v>79.0</c:v>
                </c:pt>
                <c:pt idx="29">
                  <c:v>79.6</c:v>
                </c:pt>
                <c:pt idx="30">
                  <c:v>87.2</c:v>
                </c:pt>
                <c:pt idx="31">
                  <c:v>81.4</c:v>
                </c:pt>
                <c:pt idx="32">
                  <c:v>71.7</c:v>
                </c:pt>
              </c:numCache>
            </c:numRef>
          </c:val>
        </c:ser>
        <c:dLbls>
          <c:showLegendKey val="0"/>
          <c:showVal val="0"/>
          <c:showCatName val="0"/>
          <c:showSerName val="0"/>
          <c:showPercent val="0"/>
          <c:showBubbleSize val="0"/>
        </c:dLbls>
        <c:gapWidth val="150"/>
        <c:axId val="2089462768"/>
        <c:axId val="2089466032"/>
      </c:barChart>
      <c:catAx>
        <c:axId val="2089462768"/>
        <c:scaling>
          <c:orientation val="minMax"/>
        </c:scaling>
        <c:delete val="0"/>
        <c:axPos val="b"/>
        <c:numFmt formatCode="General" sourceLinked="1"/>
        <c:majorTickMark val="out"/>
        <c:minorTickMark val="none"/>
        <c:tickLblPos val="nextTo"/>
        <c:crossAx val="2089466032"/>
        <c:crosses val="autoZero"/>
        <c:auto val="1"/>
        <c:lblAlgn val="ctr"/>
        <c:lblOffset val="100"/>
        <c:noMultiLvlLbl val="0"/>
      </c:catAx>
      <c:valAx>
        <c:axId val="2089466032"/>
        <c:scaling>
          <c:orientation val="minMax"/>
        </c:scaling>
        <c:delete val="0"/>
        <c:axPos val="l"/>
        <c:majorGridlines/>
        <c:numFmt formatCode="#,##0.0" sourceLinked="1"/>
        <c:majorTickMark val="out"/>
        <c:minorTickMark val="none"/>
        <c:tickLblPos val="nextTo"/>
        <c:crossAx val="2089462768"/>
        <c:crosses val="autoZero"/>
        <c:crossBetween val="between"/>
      </c:valAx>
    </c:plotArea>
    <c:legend>
      <c:legendPos val="b"/>
      <c:overlay val="0"/>
    </c:legend>
    <c:plotVisOnly val="1"/>
    <c:dispBlanksAs val="gap"/>
    <c:showDLblsOverMax val="0"/>
  </c:chart>
  <c:printSettings>
    <c:headerFooter/>
    <c:pageMargins b="1.0" l="0.75" r="0.75" t="1.0" header="0.5" footer="0.5"/>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ser>
          <c:idx val="1"/>
          <c:order val="0"/>
          <c:tx>
            <c:v>65-74 years</c:v>
          </c:tx>
          <c:invertIfNegative val="0"/>
          <c:cat>
            <c:strRef>
              <c:f>Figure35!$A$82:$A$96</c:f>
              <c:strCache>
                <c:ptCount val="15"/>
                <c:pt idx="0">
                  <c:v>Belgium</c:v>
                </c:pt>
                <c:pt idx="1">
                  <c:v>Bulgaria</c:v>
                </c:pt>
                <c:pt idx="2">
                  <c:v>Czech Republic</c:v>
                </c:pt>
                <c:pt idx="3">
                  <c:v>Greece</c:v>
                </c:pt>
                <c:pt idx="4">
                  <c:v>Spain</c:v>
                </c:pt>
                <c:pt idx="5">
                  <c:v>Cyprus</c:v>
                </c:pt>
                <c:pt idx="6">
                  <c:v>Latvia</c:v>
                </c:pt>
                <c:pt idx="7">
                  <c:v>Hungary</c:v>
                </c:pt>
                <c:pt idx="8">
                  <c:v>Malta</c:v>
                </c:pt>
                <c:pt idx="9">
                  <c:v>Austria</c:v>
                </c:pt>
                <c:pt idx="10">
                  <c:v>Poland</c:v>
                </c:pt>
                <c:pt idx="11">
                  <c:v>Romania</c:v>
                </c:pt>
                <c:pt idx="12">
                  <c:v>Slovenia</c:v>
                </c:pt>
                <c:pt idx="13">
                  <c:v>Slovakia</c:v>
                </c:pt>
                <c:pt idx="14">
                  <c:v>Turkey</c:v>
                </c:pt>
              </c:strCache>
            </c:strRef>
          </c:cat>
          <c:val>
            <c:numRef>
              <c:f>Figure35!$B$12:$B$26</c:f>
              <c:numCache>
                <c:formatCode>#,##0.0</c:formatCode>
                <c:ptCount val="15"/>
                <c:pt idx="0" formatCode="#,##0">
                  <c:v>62.0</c:v>
                </c:pt>
                <c:pt idx="1">
                  <c:v>49.1</c:v>
                </c:pt>
                <c:pt idx="2">
                  <c:v>58.8</c:v>
                </c:pt>
                <c:pt idx="3">
                  <c:v>59.1</c:v>
                </c:pt>
                <c:pt idx="4">
                  <c:v>58.2</c:v>
                </c:pt>
                <c:pt idx="5">
                  <c:v>59.8</c:v>
                </c:pt>
                <c:pt idx="6">
                  <c:v>55.1</c:v>
                </c:pt>
                <c:pt idx="7">
                  <c:v>51.1</c:v>
                </c:pt>
                <c:pt idx="8">
                  <c:v>59.6</c:v>
                </c:pt>
                <c:pt idx="9">
                  <c:v>62.1</c:v>
                </c:pt>
                <c:pt idx="10">
                  <c:v>54.1</c:v>
                </c:pt>
                <c:pt idx="11" formatCode="#,##0">
                  <c:v>49.0</c:v>
                </c:pt>
                <c:pt idx="12">
                  <c:v>49.1</c:v>
                </c:pt>
                <c:pt idx="13">
                  <c:v>53.8</c:v>
                </c:pt>
                <c:pt idx="14" formatCode="#,##0">
                  <c:v>43.0</c:v>
                </c:pt>
              </c:numCache>
            </c:numRef>
          </c:val>
        </c:ser>
        <c:ser>
          <c:idx val="0"/>
          <c:order val="1"/>
          <c:tx>
            <c:v>75-84 years</c:v>
          </c:tx>
          <c:invertIfNegative val="0"/>
          <c:cat>
            <c:strRef>
              <c:f>Figure35!$A$82:$A$96</c:f>
              <c:strCache>
                <c:ptCount val="15"/>
                <c:pt idx="0">
                  <c:v>Belgium</c:v>
                </c:pt>
                <c:pt idx="1">
                  <c:v>Bulgaria</c:v>
                </c:pt>
                <c:pt idx="2">
                  <c:v>Czech Republic</c:v>
                </c:pt>
                <c:pt idx="3">
                  <c:v>Greece</c:v>
                </c:pt>
                <c:pt idx="4">
                  <c:v>Spain</c:v>
                </c:pt>
                <c:pt idx="5">
                  <c:v>Cyprus</c:v>
                </c:pt>
                <c:pt idx="6">
                  <c:v>Latvia</c:v>
                </c:pt>
                <c:pt idx="7">
                  <c:v>Hungary</c:v>
                </c:pt>
                <c:pt idx="8">
                  <c:v>Malta</c:v>
                </c:pt>
                <c:pt idx="9">
                  <c:v>Austria</c:v>
                </c:pt>
                <c:pt idx="10">
                  <c:v>Poland</c:v>
                </c:pt>
                <c:pt idx="11">
                  <c:v>Romania</c:v>
                </c:pt>
                <c:pt idx="12">
                  <c:v>Slovenia</c:v>
                </c:pt>
                <c:pt idx="13">
                  <c:v>Slovakia</c:v>
                </c:pt>
                <c:pt idx="14">
                  <c:v>Turkey</c:v>
                </c:pt>
              </c:strCache>
            </c:strRef>
          </c:cat>
          <c:val>
            <c:numRef>
              <c:f>Figure35!$B$47:$B$61</c:f>
              <c:numCache>
                <c:formatCode>#,##0.0</c:formatCode>
                <c:ptCount val="15"/>
                <c:pt idx="0">
                  <c:v>56.7</c:v>
                </c:pt>
                <c:pt idx="1">
                  <c:v>39.3</c:v>
                </c:pt>
                <c:pt idx="2">
                  <c:v>45.5</c:v>
                </c:pt>
                <c:pt idx="3">
                  <c:v>47.8</c:v>
                </c:pt>
                <c:pt idx="4">
                  <c:v>53.3</c:v>
                </c:pt>
                <c:pt idx="5">
                  <c:v>49.1</c:v>
                </c:pt>
                <c:pt idx="6">
                  <c:v>48.3</c:v>
                </c:pt>
                <c:pt idx="7">
                  <c:v>39.9</c:v>
                </c:pt>
                <c:pt idx="8">
                  <c:v>53.8</c:v>
                </c:pt>
                <c:pt idx="9">
                  <c:v>50.7</c:v>
                </c:pt>
                <c:pt idx="10">
                  <c:v>47.4</c:v>
                </c:pt>
                <c:pt idx="11">
                  <c:v>41.8</c:v>
                </c:pt>
                <c:pt idx="12">
                  <c:v>48.8</c:v>
                </c:pt>
                <c:pt idx="13" formatCode="#,##0">
                  <c:v>44.0</c:v>
                </c:pt>
                <c:pt idx="14">
                  <c:v>39.7</c:v>
                </c:pt>
              </c:numCache>
            </c:numRef>
          </c:val>
        </c:ser>
        <c:ser>
          <c:idx val="2"/>
          <c:order val="2"/>
          <c:tx>
            <c:v>85+ years</c:v>
          </c:tx>
          <c:invertIfNegative val="0"/>
          <c:cat>
            <c:strRef>
              <c:f>Figure35!$A$82:$A$96</c:f>
              <c:strCache>
                <c:ptCount val="15"/>
                <c:pt idx="0">
                  <c:v>Belgium</c:v>
                </c:pt>
                <c:pt idx="1">
                  <c:v>Bulgaria</c:v>
                </c:pt>
                <c:pt idx="2">
                  <c:v>Czech Republic</c:v>
                </c:pt>
                <c:pt idx="3">
                  <c:v>Greece</c:v>
                </c:pt>
                <c:pt idx="4">
                  <c:v>Spain</c:v>
                </c:pt>
                <c:pt idx="5">
                  <c:v>Cyprus</c:v>
                </c:pt>
                <c:pt idx="6">
                  <c:v>Latvia</c:v>
                </c:pt>
                <c:pt idx="7">
                  <c:v>Hungary</c:v>
                </c:pt>
                <c:pt idx="8">
                  <c:v>Malta</c:v>
                </c:pt>
                <c:pt idx="9">
                  <c:v>Austria</c:v>
                </c:pt>
                <c:pt idx="10">
                  <c:v>Poland</c:v>
                </c:pt>
                <c:pt idx="11">
                  <c:v>Romania</c:v>
                </c:pt>
                <c:pt idx="12">
                  <c:v>Slovenia</c:v>
                </c:pt>
                <c:pt idx="13">
                  <c:v>Slovakia</c:v>
                </c:pt>
                <c:pt idx="14">
                  <c:v>Turkey</c:v>
                </c:pt>
              </c:strCache>
            </c:strRef>
          </c:cat>
          <c:val>
            <c:numRef>
              <c:f>Figure35!$B$82:$B$96</c:f>
              <c:numCache>
                <c:formatCode>#,##0.0</c:formatCode>
                <c:ptCount val="15"/>
                <c:pt idx="0" formatCode="General">
                  <c:v>0.0</c:v>
                </c:pt>
                <c:pt idx="1">
                  <c:v>36.6</c:v>
                </c:pt>
                <c:pt idx="2">
                  <c:v>39.2</c:v>
                </c:pt>
                <c:pt idx="3">
                  <c:v>42.5</c:v>
                </c:pt>
                <c:pt idx="4">
                  <c:v>54.7</c:v>
                </c:pt>
                <c:pt idx="5" formatCode="#,##0">
                  <c:v>44.0</c:v>
                </c:pt>
                <c:pt idx="6">
                  <c:v>47.1</c:v>
                </c:pt>
                <c:pt idx="7">
                  <c:v>38.4</c:v>
                </c:pt>
                <c:pt idx="8">
                  <c:v>56.5</c:v>
                </c:pt>
                <c:pt idx="9">
                  <c:v>44.7</c:v>
                </c:pt>
                <c:pt idx="10">
                  <c:v>43.3</c:v>
                </c:pt>
                <c:pt idx="11">
                  <c:v>36.7</c:v>
                </c:pt>
                <c:pt idx="12" formatCode="General">
                  <c:v>0.0</c:v>
                </c:pt>
                <c:pt idx="13" formatCode="#,##0">
                  <c:v>33.0</c:v>
                </c:pt>
                <c:pt idx="14">
                  <c:v>33.3</c:v>
                </c:pt>
              </c:numCache>
            </c:numRef>
          </c:val>
        </c:ser>
        <c:dLbls>
          <c:showLegendKey val="0"/>
          <c:showVal val="0"/>
          <c:showCatName val="0"/>
          <c:showSerName val="0"/>
          <c:showPercent val="0"/>
          <c:showBubbleSize val="0"/>
        </c:dLbls>
        <c:gapWidth val="150"/>
        <c:axId val="2090468896"/>
        <c:axId val="2090472064"/>
      </c:barChart>
      <c:catAx>
        <c:axId val="2090468896"/>
        <c:scaling>
          <c:orientation val="minMax"/>
        </c:scaling>
        <c:delete val="0"/>
        <c:axPos val="b"/>
        <c:numFmt formatCode="General" sourceLinked="1"/>
        <c:majorTickMark val="out"/>
        <c:minorTickMark val="none"/>
        <c:tickLblPos val="nextTo"/>
        <c:crossAx val="2090472064"/>
        <c:crosses val="autoZero"/>
        <c:auto val="1"/>
        <c:lblAlgn val="ctr"/>
        <c:lblOffset val="100"/>
        <c:noMultiLvlLbl val="0"/>
      </c:catAx>
      <c:valAx>
        <c:axId val="2090472064"/>
        <c:scaling>
          <c:orientation val="minMax"/>
        </c:scaling>
        <c:delete val="0"/>
        <c:axPos val="l"/>
        <c:majorGridlines/>
        <c:numFmt formatCode="#,##0" sourceLinked="1"/>
        <c:majorTickMark val="out"/>
        <c:minorTickMark val="none"/>
        <c:tickLblPos val="nextTo"/>
        <c:crossAx val="2090468896"/>
        <c:crosses val="autoZero"/>
        <c:crossBetween val="between"/>
      </c:valAx>
    </c:plotArea>
    <c:legend>
      <c:legendPos val="b"/>
      <c:overlay val="0"/>
    </c:legend>
    <c:plotVisOnly val="1"/>
    <c:dispBlanksAs val="gap"/>
    <c:showDLblsOverMax val="0"/>
  </c:chart>
  <c:printSettings>
    <c:headerFooter/>
    <c:pageMargins b="1.0" l="0.75" r="0.75" t="1.0" header="0.5" footer="0.5"/>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ser>
          <c:idx val="0"/>
          <c:order val="0"/>
          <c:tx>
            <c:v>65-74 years</c:v>
          </c:tx>
          <c:invertIfNegative val="0"/>
          <c:cat>
            <c:strRef>
              <c:f>Figure38!$A$80:$A$115</c:f>
              <c:strCache>
                <c:ptCount val="36"/>
                <c:pt idx="0">
                  <c:v>EU-27</c:v>
                </c:pt>
                <c:pt idx="1">
                  <c:v>EU-15</c:v>
                </c:pt>
                <c:pt idx="2">
                  <c:v>New Mem States (12)</c:v>
                </c:pt>
                <c:pt idx="3">
                  <c:v>Belgium</c:v>
                </c:pt>
                <c:pt idx="4">
                  <c:v>Bulgaria</c:v>
                </c:pt>
                <c:pt idx="5">
                  <c:v>Czech Republic</c:v>
                </c:pt>
                <c:pt idx="6">
                  <c:v>Denmark</c:v>
                </c:pt>
                <c:pt idx="7">
                  <c:v>Germany</c:v>
                </c:pt>
                <c:pt idx="8">
                  <c:v>Estonia</c:v>
                </c:pt>
                <c:pt idx="9">
                  <c:v>Ireland</c:v>
                </c:pt>
                <c:pt idx="10">
                  <c:v>Greece</c:v>
                </c:pt>
                <c:pt idx="11">
                  <c:v>Spain</c:v>
                </c:pt>
                <c:pt idx="12">
                  <c:v>France</c:v>
                </c:pt>
                <c:pt idx="13">
                  <c:v>Croatia</c:v>
                </c:pt>
                <c:pt idx="14">
                  <c:v>Italy</c:v>
                </c:pt>
                <c:pt idx="15">
                  <c:v>Cyprus</c:v>
                </c:pt>
                <c:pt idx="16">
                  <c:v>Latvia</c:v>
                </c:pt>
                <c:pt idx="17">
                  <c:v>Lithuania</c:v>
                </c:pt>
                <c:pt idx="18">
                  <c:v>Luxembourg</c:v>
                </c:pt>
                <c:pt idx="19">
                  <c:v>Hungary</c:v>
                </c:pt>
                <c:pt idx="20">
                  <c:v>Malta</c:v>
                </c:pt>
                <c:pt idx="21">
                  <c:v>Netherlands</c:v>
                </c:pt>
                <c:pt idx="22">
                  <c:v>Austria</c:v>
                </c:pt>
                <c:pt idx="23">
                  <c:v>Poland</c:v>
                </c:pt>
                <c:pt idx="24">
                  <c:v>Portugal</c:v>
                </c:pt>
                <c:pt idx="25">
                  <c:v>Romania</c:v>
                </c:pt>
                <c:pt idx="26">
                  <c:v>Slovenia</c:v>
                </c:pt>
                <c:pt idx="27">
                  <c:v>Slovakia</c:v>
                </c:pt>
                <c:pt idx="28">
                  <c:v>Finland</c:v>
                </c:pt>
                <c:pt idx="29">
                  <c:v>Sweden</c:v>
                </c:pt>
                <c:pt idx="30">
                  <c:v>United Kingdom</c:v>
                </c:pt>
                <c:pt idx="31">
                  <c:v>Iceland</c:v>
                </c:pt>
                <c:pt idx="32">
                  <c:v>Norway</c:v>
                </c:pt>
                <c:pt idx="33">
                  <c:v>Switzerland</c:v>
                </c:pt>
                <c:pt idx="34">
                  <c:v>TFYR of Macedonia</c:v>
                </c:pt>
                <c:pt idx="35">
                  <c:v>Serbia</c:v>
                </c:pt>
              </c:strCache>
            </c:strRef>
          </c:cat>
          <c:val>
            <c:numRef>
              <c:f>Figure38!$B$13:$B$48</c:f>
              <c:numCache>
                <c:formatCode>#,##0.0</c:formatCode>
                <c:ptCount val="36"/>
                <c:pt idx="0">
                  <c:v>19.1</c:v>
                </c:pt>
                <c:pt idx="1">
                  <c:v>16.8</c:v>
                </c:pt>
                <c:pt idx="2">
                  <c:v>28.5</c:v>
                </c:pt>
                <c:pt idx="3">
                  <c:v>19.2</c:v>
                </c:pt>
                <c:pt idx="4">
                  <c:v>59.8</c:v>
                </c:pt>
                <c:pt idx="5">
                  <c:v>13.4</c:v>
                </c:pt>
                <c:pt idx="6">
                  <c:v>9.3</c:v>
                </c:pt>
                <c:pt idx="7">
                  <c:v>19.5</c:v>
                </c:pt>
                <c:pt idx="8">
                  <c:v>34.9</c:v>
                </c:pt>
                <c:pt idx="9">
                  <c:v>15.3</c:v>
                </c:pt>
                <c:pt idx="10">
                  <c:v>20.8</c:v>
                </c:pt>
                <c:pt idx="11">
                  <c:v>15.8</c:v>
                </c:pt>
                <c:pt idx="12">
                  <c:v>9.4</c:v>
                </c:pt>
                <c:pt idx="13">
                  <c:v>30.6</c:v>
                </c:pt>
                <c:pt idx="14">
                  <c:v>23.4</c:v>
                </c:pt>
                <c:pt idx="15">
                  <c:v>21.8</c:v>
                </c:pt>
                <c:pt idx="16">
                  <c:v>39.9</c:v>
                </c:pt>
                <c:pt idx="17">
                  <c:v>31.7</c:v>
                </c:pt>
                <c:pt idx="18">
                  <c:v>6.0</c:v>
                </c:pt>
                <c:pt idx="19">
                  <c:v>23.8</c:v>
                </c:pt>
                <c:pt idx="20">
                  <c:v>21.7</c:v>
                </c:pt>
                <c:pt idx="21">
                  <c:v>5.2</c:v>
                </c:pt>
                <c:pt idx="22">
                  <c:v>18.7</c:v>
                </c:pt>
                <c:pt idx="23">
                  <c:v>25.2</c:v>
                </c:pt>
                <c:pt idx="24">
                  <c:v>18.3</c:v>
                </c:pt>
                <c:pt idx="25">
                  <c:v>34.4</c:v>
                </c:pt>
                <c:pt idx="26">
                  <c:v>21.1</c:v>
                </c:pt>
                <c:pt idx="27">
                  <c:v>13.6</c:v>
                </c:pt>
                <c:pt idx="28">
                  <c:v>12.0</c:v>
                </c:pt>
                <c:pt idx="29">
                  <c:v>12.6</c:v>
                </c:pt>
                <c:pt idx="30">
                  <c:v>16.3</c:v>
                </c:pt>
                <c:pt idx="31">
                  <c:v>3.9</c:v>
                </c:pt>
                <c:pt idx="32">
                  <c:v>6.0</c:v>
                </c:pt>
                <c:pt idx="33">
                  <c:v>26.4</c:v>
                </c:pt>
                <c:pt idx="34">
                  <c:v>45.2</c:v>
                </c:pt>
                <c:pt idx="35">
                  <c:v>37.0</c:v>
                </c:pt>
              </c:numCache>
            </c:numRef>
          </c:val>
        </c:ser>
        <c:ser>
          <c:idx val="1"/>
          <c:order val="1"/>
          <c:tx>
            <c:v>75+ years</c:v>
          </c:tx>
          <c:invertIfNegative val="0"/>
          <c:cat>
            <c:strRef>
              <c:f>Figure38!$A$80:$A$115</c:f>
              <c:strCache>
                <c:ptCount val="36"/>
                <c:pt idx="0">
                  <c:v>EU-27</c:v>
                </c:pt>
                <c:pt idx="1">
                  <c:v>EU-15</c:v>
                </c:pt>
                <c:pt idx="2">
                  <c:v>New Mem States (12)</c:v>
                </c:pt>
                <c:pt idx="3">
                  <c:v>Belgium</c:v>
                </c:pt>
                <c:pt idx="4">
                  <c:v>Bulgaria</c:v>
                </c:pt>
                <c:pt idx="5">
                  <c:v>Czech Republic</c:v>
                </c:pt>
                <c:pt idx="6">
                  <c:v>Denmark</c:v>
                </c:pt>
                <c:pt idx="7">
                  <c:v>Germany</c:v>
                </c:pt>
                <c:pt idx="8">
                  <c:v>Estonia</c:v>
                </c:pt>
                <c:pt idx="9">
                  <c:v>Ireland</c:v>
                </c:pt>
                <c:pt idx="10">
                  <c:v>Greece</c:v>
                </c:pt>
                <c:pt idx="11">
                  <c:v>Spain</c:v>
                </c:pt>
                <c:pt idx="12">
                  <c:v>France</c:v>
                </c:pt>
                <c:pt idx="13">
                  <c:v>Croatia</c:v>
                </c:pt>
                <c:pt idx="14">
                  <c:v>Italy</c:v>
                </c:pt>
                <c:pt idx="15">
                  <c:v>Cyprus</c:v>
                </c:pt>
                <c:pt idx="16">
                  <c:v>Latvia</c:v>
                </c:pt>
                <c:pt idx="17">
                  <c:v>Lithuania</c:v>
                </c:pt>
                <c:pt idx="18">
                  <c:v>Luxembourg</c:v>
                </c:pt>
                <c:pt idx="19">
                  <c:v>Hungary</c:v>
                </c:pt>
                <c:pt idx="20">
                  <c:v>Malta</c:v>
                </c:pt>
                <c:pt idx="21">
                  <c:v>Netherlands</c:v>
                </c:pt>
                <c:pt idx="22">
                  <c:v>Austria</c:v>
                </c:pt>
                <c:pt idx="23">
                  <c:v>Poland</c:v>
                </c:pt>
                <c:pt idx="24">
                  <c:v>Portugal</c:v>
                </c:pt>
                <c:pt idx="25">
                  <c:v>Romania</c:v>
                </c:pt>
                <c:pt idx="26">
                  <c:v>Slovenia</c:v>
                </c:pt>
                <c:pt idx="27">
                  <c:v>Slovakia</c:v>
                </c:pt>
                <c:pt idx="28">
                  <c:v>Finland</c:v>
                </c:pt>
                <c:pt idx="29">
                  <c:v>Sweden</c:v>
                </c:pt>
                <c:pt idx="30">
                  <c:v>United Kingdom</c:v>
                </c:pt>
                <c:pt idx="31">
                  <c:v>Iceland</c:v>
                </c:pt>
                <c:pt idx="32">
                  <c:v>Norway</c:v>
                </c:pt>
                <c:pt idx="33">
                  <c:v>Switzerland</c:v>
                </c:pt>
                <c:pt idx="34">
                  <c:v>TFYR of Macedonia</c:v>
                </c:pt>
                <c:pt idx="35">
                  <c:v>Serbia</c:v>
                </c:pt>
              </c:strCache>
            </c:strRef>
          </c:cat>
          <c:val>
            <c:numRef>
              <c:f>Figure38!$B$80:$B$115</c:f>
              <c:numCache>
                <c:formatCode>#,##0.0</c:formatCode>
                <c:ptCount val="36"/>
                <c:pt idx="0">
                  <c:v>21.8</c:v>
                </c:pt>
                <c:pt idx="1">
                  <c:v>19.9</c:v>
                </c:pt>
                <c:pt idx="2">
                  <c:v>30.1</c:v>
                </c:pt>
                <c:pt idx="3">
                  <c:v>22.2</c:v>
                </c:pt>
                <c:pt idx="4">
                  <c:v>64.8</c:v>
                </c:pt>
                <c:pt idx="5">
                  <c:v>14.4</c:v>
                </c:pt>
                <c:pt idx="6">
                  <c:v>17.7</c:v>
                </c:pt>
                <c:pt idx="7">
                  <c:v>16.7</c:v>
                </c:pt>
                <c:pt idx="8">
                  <c:v>32.0</c:v>
                </c:pt>
                <c:pt idx="9">
                  <c:v>12.5</c:v>
                </c:pt>
                <c:pt idx="10">
                  <c:v>28.1</c:v>
                </c:pt>
                <c:pt idx="11">
                  <c:v>14.4</c:v>
                </c:pt>
                <c:pt idx="12">
                  <c:v>13.4</c:v>
                </c:pt>
                <c:pt idx="13">
                  <c:v>40.4</c:v>
                </c:pt>
                <c:pt idx="14">
                  <c:v>26.7</c:v>
                </c:pt>
                <c:pt idx="15">
                  <c:v>41.1</c:v>
                </c:pt>
                <c:pt idx="16">
                  <c:v>39.7</c:v>
                </c:pt>
                <c:pt idx="17">
                  <c:v>41.0</c:v>
                </c:pt>
                <c:pt idx="18">
                  <c:v>10.0</c:v>
                </c:pt>
                <c:pt idx="19">
                  <c:v>20.1</c:v>
                </c:pt>
                <c:pt idx="20">
                  <c:v>20.0</c:v>
                </c:pt>
                <c:pt idx="21">
                  <c:v>8.4</c:v>
                </c:pt>
                <c:pt idx="22">
                  <c:v>18.5</c:v>
                </c:pt>
                <c:pt idx="23">
                  <c:v>19.9</c:v>
                </c:pt>
                <c:pt idx="24">
                  <c:v>24.8</c:v>
                </c:pt>
                <c:pt idx="25">
                  <c:v>44.3</c:v>
                </c:pt>
                <c:pt idx="26">
                  <c:v>35.3</c:v>
                </c:pt>
                <c:pt idx="27">
                  <c:v>18.6</c:v>
                </c:pt>
                <c:pt idx="28">
                  <c:v>29.8</c:v>
                </c:pt>
                <c:pt idx="29">
                  <c:v>33.2</c:v>
                </c:pt>
                <c:pt idx="30">
                  <c:v>23.5</c:v>
                </c:pt>
                <c:pt idx="31">
                  <c:v>5.1</c:v>
                </c:pt>
                <c:pt idx="32">
                  <c:v>27.2</c:v>
                </c:pt>
                <c:pt idx="33">
                  <c:v>41.8</c:v>
                </c:pt>
                <c:pt idx="34">
                  <c:v>49.0</c:v>
                </c:pt>
                <c:pt idx="35">
                  <c:v>41.9</c:v>
                </c:pt>
              </c:numCache>
            </c:numRef>
          </c:val>
        </c:ser>
        <c:dLbls>
          <c:showLegendKey val="0"/>
          <c:showVal val="0"/>
          <c:showCatName val="0"/>
          <c:showSerName val="0"/>
          <c:showPercent val="0"/>
          <c:showBubbleSize val="0"/>
        </c:dLbls>
        <c:gapWidth val="150"/>
        <c:axId val="2090519984"/>
        <c:axId val="2090523248"/>
      </c:barChart>
      <c:catAx>
        <c:axId val="2090519984"/>
        <c:scaling>
          <c:orientation val="minMax"/>
        </c:scaling>
        <c:delete val="0"/>
        <c:axPos val="b"/>
        <c:numFmt formatCode="General" sourceLinked="1"/>
        <c:majorTickMark val="out"/>
        <c:minorTickMark val="none"/>
        <c:tickLblPos val="nextTo"/>
        <c:crossAx val="2090523248"/>
        <c:crosses val="autoZero"/>
        <c:auto val="1"/>
        <c:lblAlgn val="ctr"/>
        <c:lblOffset val="100"/>
        <c:noMultiLvlLbl val="0"/>
      </c:catAx>
      <c:valAx>
        <c:axId val="2090523248"/>
        <c:scaling>
          <c:orientation val="minMax"/>
        </c:scaling>
        <c:delete val="0"/>
        <c:axPos val="l"/>
        <c:majorGridlines/>
        <c:numFmt formatCode="#,##0.0" sourceLinked="1"/>
        <c:majorTickMark val="out"/>
        <c:minorTickMark val="none"/>
        <c:tickLblPos val="nextTo"/>
        <c:crossAx val="2090519984"/>
        <c:crosses val="autoZero"/>
        <c:crossBetween val="between"/>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Males</c:v>
          </c:tx>
          <c:invertIfNegative val="0"/>
          <c:cat>
            <c:strRef>
              <c:f>'Annex5.2 Fig 5.2.1'!$A$4:$A$14</c:f>
              <c:strCache>
                <c:ptCount val="11"/>
                <c:pt idx="0">
                  <c:v>Albania</c:v>
                </c:pt>
                <c:pt idx="1">
                  <c:v>Armenia</c:v>
                </c:pt>
                <c:pt idx="2">
                  <c:v>Azerbaijan</c:v>
                </c:pt>
                <c:pt idx="3">
                  <c:v>Belarus</c:v>
                </c:pt>
                <c:pt idx="4">
                  <c:v>Bosnia and Herzegovina</c:v>
                </c:pt>
                <c:pt idx="5">
                  <c:v>Kazakhstan</c:v>
                </c:pt>
                <c:pt idx="6">
                  <c:v>Republic of Moldova</c:v>
                </c:pt>
                <c:pt idx="7">
                  <c:v>Serbia</c:v>
                </c:pt>
                <c:pt idx="8">
                  <c:v>Tajikistan</c:v>
                </c:pt>
                <c:pt idx="9">
                  <c:v>Ukraine</c:v>
                </c:pt>
                <c:pt idx="10">
                  <c:v>Uzbekistan</c:v>
                </c:pt>
              </c:strCache>
            </c:strRef>
          </c:cat>
          <c:val>
            <c:numRef>
              <c:f>'Annex5.2 Fig 5.2.1'!$C$4:$C$14</c:f>
              <c:numCache>
                <c:formatCode>0</c:formatCode>
                <c:ptCount val="11"/>
                <c:pt idx="0">
                  <c:v>22.0</c:v>
                </c:pt>
                <c:pt idx="1">
                  <c:v>8.9</c:v>
                </c:pt>
                <c:pt idx="2">
                  <c:v>5.3</c:v>
                </c:pt>
                <c:pt idx="3">
                  <c:v>50.9</c:v>
                </c:pt>
                <c:pt idx="4">
                  <c:v>47.4</c:v>
                </c:pt>
                <c:pt idx="5">
                  <c:v>34.1</c:v>
                </c:pt>
                <c:pt idx="6">
                  <c:v>39.1</c:v>
                </c:pt>
                <c:pt idx="7">
                  <c:v>47.6</c:v>
                </c:pt>
                <c:pt idx="8">
                  <c:v>0.0</c:v>
                </c:pt>
                <c:pt idx="9">
                  <c:v>45.8</c:v>
                </c:pt>
                <c:pt idx="10">
                  <c:v>0.0</c:v>
                </c:pt>
              </c:numCache>
            </c:numRef>
          </c:val>
        </c:ser>
        <c:ser>
          <c:idx val="1"/>
          <c:order val="1"/>
          <c:tx>
            <c:v>Females</c:v>
          </c:tx>
          <c:invertIfNegative val="0"/>
          <c:cat>
            <c:strRef>
              <c:f>'Annex5.2 Fig 5.2.1'!$A$4:$A$14</c:f>
              <c:strCache>
                <c:ptCount val="11"/>
                <c:pt idx="0">
                  <c:v>Albania</c:v>
                </c:pt>
                <c:pt idx="1">
                  <c:v>Armenia</c:v>
                </c:pt>
                <c:pt idx="2">
                  <c:v>Azerbaijan</c:v>
                </c:pt>
                <c:pt idx="3">
                  <c:v>Belarus</c:v>
                </c:pt>
                <c:pt idx="4">
                  <c:v>Bosnia and Herzegovina</c:v>
                </c:pt>
                <c:pt idx="5">
                  <c:v>Kazakhstan</c:v>
                </c:pt>
                <c:pt idx="6">
                  <c:v>Republic of Moldova</c:v>
                </c:pt>
                <c:pt idx="7">
                  <c:v>Serbia</c:v>
                </c:pt>
                <c:pt idx="8">
                  <c:v>Tajikistan</c:v>
                </c:pt>
                <c:pt idx="9">
                  <c:v>Ukraine</c:v>
                </c:pt>
                <c:pt idx="10">
                  <c:v>Uzbekistan</c:v>
                </c:pt>
              </c:strCache>
            </c:strRef>
          </c:cat>
          <c:val>
            <c:numRef>
              <c:f>'Annex5.2 Fig 5.2.1'!$E$4:$E$14</c:f>
              <c:numCache>
                <c:formatCode>0</c:formatCode>
                <c:ptCount val="11"/>
                <c:pt idx="0">
                  <c:v>35.9</c:v>
                </c:pt>
                <c:pt idx="1">
                  <c:v>15.8</c:v>
                </c:pt>
                <c:pt idx="2">
                  <c:v>4.8</c:v>
                </c:pt>
                <c:pt idx="3">
                  <c:v>56.1</c:v>
                </c:pt>
                <c:pt idx="4">
                  <c:v>47.6</c:v>
                </c:pt>
                <c:pt idx="5">
                  <c:v>36.2</c:v>
                </c:pt>
                <c:pt idx="6">
                  <c:v>42.2</c:v>
                </c:pt>
                <c:pt idx="7">
                  <c:v>54.1</c:v>
                </c:pt>
                <c:pt idx="8">
                  <c:v>8.7</c:v>
                </c:pt>
                <c:pt idx="9">
                  <c:v>49.9</c:v>
                </c:pt>
                <c:pt idx="10">
                  <c:v>31.0</c:v>
                </c:pt>
              </c:numCache>
            </c:numRef>
          </c:val>
        </c:ser>
        <c:dLbls>
          <c:showLegendKey val="0"/>
          <c:showVal val="0"/>
          <c:showCatName val="0"/>
          <c:showSerName val="0"/>
          <c:showPercent val="0"/>
          <c:showBubbleSize val="0"/>
        </c:dLbls>
        <c:gapWidth val="150"/>
        <c:axId val="2089517776"/>
        <c:axId val="2089520928"/>
      </c:barChart>
      <c:catAx>
        <c:axId val="2089517776"/>
        <c:scaling>
          <c:orientation val="minMax"/>
        </c:scaling>
        <c:delete val="0"/>
        <c:axPos val="l"/>
        <c:numFmt formatCode="General" sourceLinked="1"/>
        <c:majorTickMark val="out"/>
        <c:minorTickMark val="none"/>
        <c:tickLblPos val="nextTo"/>
        <c:txPr>
          <a:bodyPr/>
          <a:lstStyle/>
          <a:p>
            <a:pPr>
              <a:defRPr lang="en-GB"/>
            </a:pPr>
            <a:endParaRPr lang="en-US"/>
          </a:p>
        </c:txPr>
        <c:crossAx val="2089520928"/>
        <c:crosses val="autoZero"/>
        <c:auto val="1"/>
        <c:lblAlgn val="ctr"/>
        <c:lblOffset val="100"/>
        <c:noMultiLvlLbl val="0"/>
      </c:catAx>
      <c:valAx>
        <c:axId val="2089520928"/>
        <c:scaling>
          <c:orientation val="minMax"/>
        </c:scaling>
        <c:delete val="0"/>
        <c:axPos val="b"/>
        <c:majorGridlines/>
        <c:numFmt formatCode="0" sourceLinked="1"/>
        <c:majorTickMark val="out"/>
        <c:minorTickMark val="none"/>
        <c:tickLblPos val="nextTo"/>
        <c:txPr>
          <a:bodyPr/>
          <a:lstStyle/>
          <a:p>
            <a:pPr>
              <a:defRPr lang="en-GB"/>
            </a:pPr>
            <a:endParaRPr lang="en-US"/>
          </a:p>
        </c:txPr>
        <c:crossAx val="2089517776"/>
        <c:crosses val="autoZero"/>
        <c:crossBetween val="between"/>
      </c:valAx>
    </c:plotArea>
    <c:legend>
      <c:legendPos val="r"/>
      <c:layout/>
      <c:overlay val="0"/>
      <c:txPr>
        <a:bodyPr/>
        <a:lstStyle/>
        <a:p>
          <a:pPr>
            <a:defRPr lang="en-GB"/>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4" Type="http://schemas.openxmlformats.org/officeDocument/2006/relationships/chart" Target="../charts/chart7.xml"/><Relationship Id="rId5" Type="http://schemas.openxmlformats.org/officeDocument/2006/relationships/chart" Target="../charts/chart8.xml"/><Relationship Id="rId6" Type="http://schemas.openxmlformats.org/officeDocument/2006/relationships/chart" Target="../charts/chart9.xml"/><Relationship Id="rId7" Type="http://schemas.openxmlformats.org/officeDocument/2006/relationships/chart" Target="../charts/chart10.xml"/><Relationship Id="rId8" Type="http://schemas.openxmlformats.org/officeDocument/2006/relationships/chart" Target="../charts/chart11.xml"/><Relationship Id="rId9" Type="http://schemas.openxmlformats.org/officeDocument/2006/relationships/chart" Target="../charts/chart12.xml"/><Relationship Id="rId10" Type="http://schemas.openxmlformats.org/officeDocument/2006/relationships/chart" Target="../charts/chart13.xml"/><Relationship Id="rId1" Type="http://schemas.openxmlformats.org/officeDocument/2006/relationships/chart" Target="../charts/chart4.xml"/><Relationship Id="rId2"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image" Target="file://localhost/logo_en.gif" TargetMode="External"/><Relationship Id="rId2"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image" Target="file://localhost/logo_en.gif" TargetMode="External"/><Relationship Id="rId2"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5.xml"/><Relationship Id="rId2" Type="http://schemas.openxmlformats.org/officeDocument/2006/relationships/chart" Target="../charts/chart2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7.xml"/><Relationship Id="rId2" Type="http://schemas.openxmlformats.org/officeDocument/2006/relationships/chart" Target="../charts/chart28.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8.xml"/><Relationship Id="rId2" Type="http://schemas.openxmlformats.org/officeDocument/2006/relationships/chart" Target="../charts/chart49.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emf"/></Relationships>
</file>

<file path=xl/drawings/_rels/drawing40.xml.rels><?xml version="1.0" encoding="UTF-8" standalone="yes"?>
<Relationships xmlns="http://schemas.openxmlformats.org/package/2006/relationships"><Relationship Id="rId1" Type="http://schemas.openxmlformats.org/officeDocument/2006/relationships/image" Target="../media/image2.emf"/></Relationships>
</file>

<file path=xl/drawings/_rels/drawing41.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6</xdr:col>
      <xdr:colOff>266700</xdr:colOff>
      <xdr:row>5</xdr:row>
      <xdr:rowOff>25400</xdr:rowOff>
    </xdr:from>
    <xdr:to>
      <xdr:col>12</xdr:col>
      <xdr:colOff>457200</xdr:colOff>
      <xdr:row>54</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695324</xdr:colOff>
      <xdr:row>3</xdr:row>
      <xdr:rowOff>104774</xdr:rowOff>
    </xdr:from>
    <xdr:to>
      <xdr:col>19</xdr:col>
      <xdr:colOff>36286</xdr:colOff>
      <xdr:row>58</xdr:row>
      <xdr:rowOff>36286</xdr:rowOff>
    </xdr:to>
    <xdr:graphicFrame macro="">
      <xdr:nvGraphicFramePr>
        <xdr:cNvPr id="2"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4749800" y="1269999"/>
    <xdr:ext cx="7273192" cy="6502401"/>
    <xdr:graphicFrame macro="">
      <xdr:nvGraphicFramePr>
        <xdr:cNvPr id="2" name="5 Gráfico"/>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xdr:from>
      <xdr:col>11</xdr:col>
      <xdr:colOff>219076</xdr:colOff>
      <xdr:row>39</xdr:row>
      <xdr:rowOff>180974</xdr:rowOff>
    </xdr:from>
    <xdr:to>
      <xdr:col>19</xdr:col>
      <xdr:colOff>190500</xdr:colOff>
      <xdr:row>43</xdr:row>
      <xdr:rowOff>38099</xdr:rowOff>
    </xdr:to>
    <xdr:sp macro="" textlink="">
      <xdr:nvSpPr>
        <xdr:cNvPr id="3" name="TextBox 2"/>
        <xdr:cNvSpPr txBox="1"/>
      </xdr:nvSpPr>
      <xdr:spPr>
        <a:xfrm>
          <a:off x="6924676" y="7991474"/>
          <a:ext cx="4848224"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NOTE TO DESIGNER: HORIZONTAL AXIS - REPLACE COMMAS WITH NON-BREAKING SPACE [10 000, NOT 10,000]</a:t>
          </a:r>
        </a:p>
        <a:p>
          <a:r>
            <a:rPr lang="en-GB" sz="1100"/>
            <a:t>COUNTRY NAMES AS PER TEXT CHANGES OPPOSITE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296635</xdr:colOff>
      <xdr:row>42</xdr:row>
      <xdr:rowOff>63272</xdr:rowOff>
    </xdr:from>
    <xdr:to>
      <xdr:col>24</xdr:col>
      <xdr:colOff>68036</xdr:colOff>
      <xdr:row>59</xdr:row>
      <xdr:rowOff>42635</xdr:rowOff>
    </xdr:to>
    <xdr:graphicFrame macro="">
      <xdr:nvGraphicFramePr>
        <xdr:cNvPr id="2" name="Diagram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585107</xdr:colOff>
      <xdr:row>42</xdr:row>
      <xdr:rowOff>72117</xdr:rowOff>
    </xdr:from>
    <xdr:to>
      <xdr:col>13</xdr:col>
      <xdr:colOff>217714</xdr:colOff>
      <xdr:row>59</xdr:row>
      <xdr:rowOff>49892</xdr:rowOff>
    </xdr:to>
    <xdr:graphicFrame macro="">
      <xdr:nvGraphicFramePr>
        <xdr:cNvPr id="3" name="Diagram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400049</xdr:colOff>
      <xdr:row>70</xdr:row>
      <xdr:rowOff>22452</xdr:rowOff>
    </xdr:from>
    <xdr:to>
      <xdr:col>24</xdr:col>
      <xdr:colOff>68036</xdr:colOff>
      <xdr:row>87</xdr:row>
      <xdr:rowOff>141516</xdr:rowOff>
    </xdr:to>
    <xdr:graphicFrame macro="">
      <xdr:nvGraphicFramePr>
        <xdr:cNvPr id="4" name="Diagram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13607</xdr:colOff>
      <xdr:row>70</xdr:row>
      <xdr:rowOff>31296</xdr:rowOff>
    </xdr:from>
    <xdr:to>
      <xdr:col>13</xdr:col>
      <xdr:colOff>136070</xdr:colOff>
      <xdr:row>87</xdr:row>
      <xdr:rowOff>167821</xdr:rowOff>
    </xdr:to>
    <xdr:graphicFrame macro="">
      <xdr:nvGraphicFramePr>
        <xdr:cNvPr id="5" name="Diagram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417739</xdr:colOff>
      <xdr:row>99</xdr:row>
      <xdr:rowOff>48304</xdr:rowOff>
    </xdr:from>
    <xdr:to>
      <xdr:col>25</xdr:col>
      <xdr:colOff>27214</xdr:colOff>
      <xdr:row>115</xdr:row>
      <xdr:rowOff>170542</xdr:rowOff>
    </xdr:to>
    <xdr:graphicFrame macro="">
      <xdr:nvGraphicFramePr>
        <xdr:cNvPr id="6" name="Diagram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600074</xdr:colOff>
      <xdr:row>99</xdr:row>
      <xdr:rowOff>85724</xdr:rowOff>
    </xdr:from>
    <xdr:to>
      <xdr:col>13</xdr:col>
      <xdr:colOff>272141</xdr:colOff>
      <xdr:row>115</xdr:row>
      <xdr:rowOff>190499</xdr:rowOff>
    </xdr:to>
    <xdr:graphicFrame macro="">
      <xdr:nvGraphicFramePr>
        <xdr:cNvPr id="7" name="Diagram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585105</xdr:colOff>
      <xdr:row>126</xdr:row>
      <xdr:rowOff>14287</xdr:rowOff>
    </xdr:from>
    <xdr:to>
      <xdr:col>24</xdr:col>
      <xdr:colOff>508907</xdr:colOff>
      <xdr:row>145</xdr:row>
      <xdr:rowOff>104775</xdr:rowOff>
    </xdr:to>
    <xdr:graphicFrame macro="">
      <xdr:nvGraphicFramePr>
        <xdr:cNvPr id="8" name="Diagram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600075</xdr:colOff>
      <xdr:row>126</xdr:row>
      <xdr:rowOff>29935</xdr:rowOff>
    </xdr:from>
    <xdr:to>
      <xdr:col>13</xdr:col>
      <xdr:colOff>466725</xdr:colOff>
      <xdr:row>145</xdr:row>
      <xdr:rowOff>71210</xdr:rowOff>
    </xdr:to>
    <xdr:graphicFrame macro="">
      <xdr:nvGraphicFramePr>
        <xdr:cNvPr id="9" name="Diagram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598714</xdr:colOff>
      <xdr:row>11</xdr:row>
      <xdr:rowOff>136072</xdr:rowOff>
    </xdr:from>
    <xdr:to>
      <xdr:col>13</xdr:col>
      <xdr:colOff>244929</xdr:colOff>
      <xdr:row>31</xdr:row>
      <xdr:rowOff>113847</xdr:rowOff>
    </xdr:to>
    <xdr:graphicFrame macro="">
      <xdr:nvGraphicFramePr>
        <xdr:cNvPr id="10" name="Diagram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285749</xdr:colOff>
      <xdr:row>11</xdr:row>
      <xdr:rowOff>136071</xdr:rowOff>
    </xdr:from>
    <xdr:to>
      <xdr:col>24</xdr:col>
      <xdr:colOff>13607</xdr:colOff>
      <xdr:row>31</xdr:row>
      <xdr:rowOff>108857</xdr:rowOff>
    </xdr:to>
    <xdr:graphicFrame macro="">
      <xdr:nvGraphicFramePr>
        <xdr:cNvPr id="11" name="Diagram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32658</xdr:colOff>
      <xdr:row>3</xdr:row>
      <xdr:rowOff>15647</xdr:rowOff>
    </xdr:from>
    <xdr:to>
      <xdr:col>12</xdr:col>
      <xdr:colOff>337458</xdr:colOff>
      <xdr:row>51</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304800</xdr:colOff>
      <xdr:row>0</xdr:row>
      <xdr:rowOff>0</xdr:rowOff>
    </xdr:from>
    <xdr:to>
      <xdr:col>0</xdr:col>
      <xdr:colOff>609600</xdr:colOff>
      <xdr:row>1</xdr:row>
      <xdr:rowOff>127000</xdr:rowOff>
    </xdr:to>
    <xdr:pic>
      <xdr:nvPicPr>
        <xdr:cNvPr id="2" name="Picture 1" descr="Macintosh HD:logo_en.gif"/>
        <xdr:cNvPicPr>
          <a:picLocks noChangeAspect="1" noChangeArrowheads="1"/>
        </xdr:cNvPicPr>
      </xdr:nvPicPr>
      <xdr:blipFill>
        <a:blip xmlns:r="http://schemas.openxmlformats.org/officeDocument/2006/relationships" r:link="rId1"/>
        <a:srcRect/>
        <a:stretch>
          <a:fillRect/>
        </a:stretch>
      </xdr:blipFill>
      <xdr:spPr bwMode="auto">
        <a:xfrm>
          <a:off x="304800" y="0"/>
          <a:ext cx="304800" cy="304800"/>
        </a:xfrm>
        <a:prstGeom prst="rect">
          <a:avLst/>
        </a:prstGeom>
        <a:noFill/>
      </xdr:spPr>
    </xdr:pic>
    <xdr:clientData/>
  </xdr:twoCellAnchor>
  <xdr:twoCellAnchor>
    <xdr:from>
      <xdr:col>5</xdr:col>
      <xdr:colOff>330200</xdr:colOff>
      <xdr:row>11</xdr:row>
      <xdr:rowOff>228600</xdr:rowOff>
    </xdr:from>
    <xdr:to>
      <xdr:col>15</xdr:col>
      <xdr:colOff>241300</xdr:colOff>
      <xdr:row>67</xdr:row>
      <xdr:rowOff>50800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304800</xdr:colOff>
      <xdr:row>0</xdr:row>
      <xdr:rowOff>0</xdr:rowOff>
    </xdr:from>
    <xdr:to>
      <xdr:col>0</xdr:col>
      <xdr:colOff>609600</xdr:colOff>
      <xdr:row>1</xdr:row>
      <xdr:rowOff>127000</xdr:rowOff>
    </xdr:to>
    <xdr:pic>
      <xdr:nvPicPr>
        <xdr:cNvPr id="2" name="Picture 1" descr="Macintosh HD:logo_en.gif"/>
        <xdr:cNvPicPr>
          <a:picLocks noChangeAspect="1" noChangeArrowheads="1"/>
        </xdr:cNvPicPr>
      </xdr:nvPicPr>
      <xdr:blipFill>
        <a:blip xmlns:r="http://schemas.openxmlformats.org/officeDocument/2006/relationships" r:link="rId1"/>
        <a:srcRect/>
        <a:stretch>
          <a:fillRect/>
        </a:stretch>
      </xdr:blipFill>
      <xdr:spPr bwMode="auto">
        <a:xfrm>
          <a:off x="304800" y="0"/>
          <a:ext cx="304800" cy="304800"/>
        </a:xfrm>
        <a:prstGeom prst="rect">
          <a:avLst/>
        </a:prstGeom>
        <a:noFill/>
      </xdr:spPr>
    </xdr:pic>
    <xdr:clientData/>
  </xdr:twoCellAnchor>
  <xdr:twoCellAnchor>
    <xdr:from>
      <xdr:col>9</xdr:col>
      <xdr:colOff>50800</xdr:colOff>
      <xdr:row>12</xdr:row>
      <xdr:rowOff>114300</xdr:rowOff>
    </xdr:from>
    <xdr:to>
      <xdr:col>18</xdr:col>
      <xdr:colOff>889000</xdr:colOff>
      <xdr:row>63</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257174</xdr:colOff>
      <xdr:row>2</xdr:row>
      <xdr:rowOff>66675</xdr:rowOff>
    </xdr:from>
    <xdr:to>
      <xdr:col>11</xdr:col>
      <xdr:colOff>438149</xdr:colOff>
      <xdr:row>49</xdr:row>
      <xdr:rowOff>85725</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9525</xdr:colOff>
      <xdr:row>8</xdr:row>
      <xdr:rowOff>23132</xdr:rowOff>
    </xdr:from>
    <xdr:to>
      <xdr:col>13</xdr:col>
      <xdr:colOff>393246</xdr:colOff>
      <xdr:row>44</xdr:row>
      <xdr:rowOff>80282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520700</xdr:colOff>
      <xdr:row>7</xdr:row>
      <xdr:rowOff>114300</xdr:rowOff>
    </xdr:from>
    <xdr:to>
      <xdr:col>19</xdr:col>
      <xdr:colOff>482600</xdr:colOff>
      <xdr:row>31</xdr:row>
      <xdr:rowOff>88900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9524</xdr:colOff>
      <xdr:row>13</xdr:row>
      <xdr:rowOff>61912</xdr:rowOff>
    </xdr:from>
    <xdr:to>
      <xdr:col>14</xdr:col>
      <xdr:colOff>76199</xdr:colOff>
      <xdr:row>48</xdr:row>
      <xdr:rowOff>101600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482600</xdr:colOff>
      <xdr:row>4</xdr:row>
      <xdr:rowOff>168274</xdr:rowOff>
    </xdr:from>
    <xdr:to>
      <xdr:col>14</xdr:col>
      <xdr:colOff>558800</xdr:colOff>
      <xdr:row>41</xdr:row>
      <xdr:rowOff>127000</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600075</xdr:colOff>
      <xdr:row>4</xdr:row>
      <xdr:rowOff>14287</xdr:rowOff>
    </xdr:from>
    <xdr:to>
      <xdr:col>12</xdr:col>
      <xdr:colOff>295275</xdr:colOff>
      <xdr:row>18</xdr:row>
      <xdr:rowOff>90487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390525</xdr:colOff>
      <xdr:row>2</xdr:row>
      <xdr:rowOff>33337</xdr:rowOff>
    </xdr:from>
    <xdr:to>
      <xdr:col>13</xdr:col>
      <xdr:colOff>323850</xdr:colOff>
      <xdr:row>16</xdr:row>
      <xdr:rowOff>109537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11</xdr:col>
      <xdr:colOff>0</xdr:colOff>
      <xdr:row>7</xdr:row>
      <xdr:rowOff>0</xdr:rowOff>
    </xdr:from>
    <xdr:to>
      <xdr:col>18</xdr:col>
      <xdr:colOff>50800</xdr:colOff>
      <xdr:row>56</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381000</xdr:colOff>
      <xdr:row>10</xdr:row>
      <xdr:rowOff>101600</xdr:rowOff>
    </xdr:from>
    <xdr:to>
      <xdr:col>13</xdr:col>
      <xdr:colOff>406400</xdr:colOff>
      <xdr:row>31</xdr:row>
      <xdr:rowOff>25400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63</xdr:row>
      <xdr:rowOff>50800</xdr:rowOff>
    </xdr:from>
    <xdr:to>
      <xdr:col>13</xdr:col>
      <xdr:colOff>736600</xdr:colOff>
      <xdr:row>83</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37</xdr:row>
      <xdr:rowOff>152400</xdr:rowOff>
    </xdr:from>
    <xdr:to>
      <xdr:col>20</xdr:col>
      <xdr:colOff>514350</xdr:colOff>
      <xdr:row>41</xdr:row>
      <xdr:rowOff>114300</xdr:rowOff>
    </xdr:to>
    <xdr:sp macro="" textlink="">
      <xdr:nvSpPr>
        <xdr:cNvPr id="4" name="TextBox 3"/>
        <xdr:cNvSpPr txBox="1"/>
      </xdr:nvSpPr>
      <xdr:spPr>
        <a:xfrm>
          <a:off x="2038350" y="7200900"/>
          <a:ext cx="12001500"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QUERY FOR GAUDEN </a:t>
          </a:r>
          <a:r>
            <a:rPr lang="en-GB" sz="1100"/>
            <a:t>- 'NEW</a:t>
          </a:r>
          <a:r>
            <a:rPr lang="en-GB" sz="1100" baseline="0"/>
            <a:t> MEMBER STATES (12): </a:t>
          </a:r>
          <a:r>
            <a:rPr lang="en-GB" sz="1100"/>
            <a:t>IS THIS THE EU12 ( Bulgaria, Cyprus, Czech Republic, Estonia, Hungary, Latvia, Lithuania, Malta, Poland, Romania,</a:t>
          </a:r>
        </a:p>
        <a:p>
          <a:r>
            <a:rPr lang="en-GB" sz="1100"/>
            <a:t>Slovakia, Slovenia)? IF SO, WE SHOULD CHANGE IT FROM 'New Member States'  TO 'EU12c', with footnote saying: c New Member States of the EU ( Bulgaria, Cyprus, Czech Republic, Estonia, Hungary, Latvia, Lithuania, Malta, Poland, Romania, Slovakia and Slovenia).  </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4</xdr:col>
      <xdr:colOff>355600</xdr:colOff>
      <xdr:row>20</xdr:row>
      <xdr:rowOff>63500</xdr:rowOff>
    </xdr:from>
    <xdr:to>
      <xdr:col>12</xdr:col>
      <xdr:colOff>749300</xdr:colOff>
      <xdr:row>42</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266700</xdr:colOff>
      <xdr:row>72</xdr:row>
      <xdr:rowOff>0</xdr:rowOff>
    </xdr:from>
    <xdr:to>
      <xdr:col>13</xdr:col>
      <xdr:colOff>292100</xdr:colOff>
      <xdr:row>92</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50800</xdr:colOff>
      <xdr:row>6</xdr:row>
      <xdr:rowOff>101600</xdr:rowOff>
    </xdr:from>
    <xdr:to>
      <xdr:col>13</xdr:col>
      <xdr:colOff>463600</xdr:colOff>
      <xdr:row>22</xdr:row>
      <xdr:rowOff>18300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546100</xdr:colOff>
      <xdr:row>7</xdr:row>
      <xdr:rowOff>50800</xdr:rowOff>
    </xdr:from>
    <xdr:to>
      <xdr:col>13</xdr:col>
      <xdr:colOff>285800</xdr:colOff>
      <xdr:row>22</xdr:row>
      <xdr:rowOff>145300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4</xdr:col>
      <xdr:colOff>25401</xdr:colOff>
      <xdr:row>6</xdr:row>
      <xdr:rowOff>55032</xdr:rowOff>
    </xdr:from>
    <xdr:to>
      <xdr:col>12</xdr:col>
      <xdr:colOff>664633</xdr:colOff>
      <xdr:row>54</xdr:row>
      <xdr:rowOff>29634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absoluteAnchor>
    <xdr:pos x="5105399" y="1409700"/>
    <xdr:ext cx="8077201" cy="7950200"/>
    <xdr:graphicFrame macro="">
      <xdr:nvGraphicFramePr>
        <xdr:cNvPr id="2" name="3 Gráfico"/>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xdr:wsDr xmlns:xdr="http://schemas.openxmlformats.org/drawingml/2006/spreadsheetDrawing" xmlns:a="http://schemas.openxmlformats.org/drawingml/2006/main">
  <xdr:twoCellAnchor>
    <xdr:from>
      <xdr:col>6</xdr:col>
      <xdr:colOff>238124</xdr:colOff>
      <xdr:row>5</xdr:row>
      <xdr:rowOff>60325</xdr:rowOff>
    </xdr:from>
    <xdr:to>
      <xdr:col>17</xdr:col>
      <xdr:colOff>209550</xdr:colOff>
      <xdr:row>30</xdr:row>
      <xdr:rowOff>73025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9525</xdr:colOff>
      <xdr:row>2</xdr:row>
      <xdr:rowOff>147637</xdr:rowOff>
    </xdr:from>
    <xdr:to>
      <xdr:col>12</xdr:col>
      <xdr:colOff>314325</xdr:colOff>
      <xdr:row>17</xdr:row>
      <xdr:rowOff>33337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8</xdr:col>
      <xdr:colOff>499382</xdr:colOff>
      <xdr:row>11</xdr:row>
      <xdr:rowOff>83003</xdr:rowOff>
    </xdr:from>
    <xdr:to>
      <xdr:col>20</xdr:col>
      <xdr:colOff>390525</xdr:colOff>
      <xdr:row>53</xdr:row>
      <xdr:rowOff>46718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428624</xdr:colOff>
      <xdr:row>2</xdr:row>
      <xdr:rowOff>152398</xdr:rowOff>
    </xdr:from>
    <xdr:to>
      <xdr:col>11</xdr:col>
      <xdr:colOff>285749</xdr:colOff>
      <xdr:row>53</xdr:row>
      <xdr:rowOff>95249</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6</xdr:col>
      <xdr:colOff>35379</xdr:colOff>
      <xdr:row>4</xdr:row>
      <xdr:rowOff>23131</xdr:rowOff>
    </xdr:from>
    <xdr:to>
      <xdr:col>11</xdr:col>
      <xdr:colOff>525236</xdr:colOff>
      <xdr:row>55</xdr:row>
      <xdr:rowOff>118382</xdr:rowOff>
    </xdr:to>
    <xdr:graphicFrame macro="">
      <xdr:nvGraphicFramePr>
        <xdr:cNvPr id="3"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3</xdr:col>
      <xdr:colOff>752475</xdr:colOff>
      <xdr:row>4</xdr:row>
      <xdr:rowOff>19047</xdr:rowOff>
    </xdr:from>
    <xdr:to>
      <xdr:col>9</xdr:col>
      <xdr:colOff>752475</xdr:colOff>
      <xdr:row>48</xdr:row>
      <xdr:rowOff>104774</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4</xdr:col>
      <xdr:colOff>666750</xdr:colOff>
      <xdr:row>2</xdr:row>
      <xdr:rowOff>142875</xdr:rowOff>
    </xdr:from>
    <xdr:to>
      <xdr:col>10</xdr:col>
      <xdr:colOff>666750</xdr:colOff>
      <xdr:row>46</xdr:row>
      <xdr:rowOff>85725</xdr:rowOff>
    </xdr:to>
    <xdr:graphicFrame macro="">
      <xdr:nvGraphicFramePr>
        <xdr:cNvPr id="2"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314325</xdr:colOff>
      <xdr:row>3</xdr:row>
      <xdr:rowOff>38100</xdr:rowOff>
    </xdr:from>
    <xdr:to>
      <xdr:col>11</xdr:col>
      <xdr:colOff>314325</xdr:colOff>
      <xdr:row>34</xdr:row>
      <xdr:rowOff>57150</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13</xdr:col>
      <xdr:colOff>0</xdr:colOff>
      <xdr:row>3</xdr:row>
      <xdr:rowOff>164307</xdr:rowOff>
    </xdr:from>
    <xdr:to>
      <xdr:col>19</xdr:col>
      <xdr:colOff>0</xdr:colOff>
      <xdr:row>52</xdr:row>
      <xdr:rowOff>59533</xdr:rowOff>
    </xdr:to>
    <xdr:graphicFrame macro="">
      <xdr:nvGraphicFramePr>
        <xdr:cNvPr id="3" name="4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13</xdr:col>
      <xdr:colOff>238125</xdr:colOff>
      <xdr:row>3</xdr:row>
      <xdr:rowOff>66674</xdr:rowOff>
    </xdr:from>
    <xdr:to>
      <xdr:col>19</xdr:col>
      <xdr:colOff>238125</xdr:colOff>
      <xdr:row>54</xdr:row>
      <xdr:rowOff>66675</xdr:rowOff>
    </xdr:to>
    <xdr:graphicFrame macro="">
      <xdr:nvGraphicFramePr>
        <xdr:cNvPr id="2"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absoluteAnchor>
    <xdr:pos x="9324974" y="127001"/>
    <xdr:ext cx="8836025" cy="8210550"/>
    <xdr:graphicFrame macro="">
      <xdr:nvGraphicFramePr>
        <xdr:cNvPr id="2" name="3 Gráfico"/>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3.xml><?xml version="1.0" encoding="utf-8"?>
<xdr:wsDr xmlns:xdr="http://schemas.openxmlformats.org/drawingml/2006/spreadsheetDrawing" xmlns:a="http://schemas.openxmlformats.org/drawingml/2006/main">
  <xdr:twoCellAnchor>
    <xdr:from>
      <xdr:col>14</xdr:col>
      <xdr:colOff>0</xdr:colOff>
      <xdr:row>3</xdr:row>
      <xdr:rowOff>190499</xdr:rowOff>
    </xdr:from>
    <xdr:to>
      <xdr:col>21</xdr:col>
      <xdr:colOff>304800</xdr:colOff>
      <xdr:row>29</xdr:row>
      <xdr:rowOff>47624</xdr:rowOff>
    </xdr:to>
    <xdr:graphicFrame macro="">
      <xdr:nvGraphicFramePr>
        <xdr:cNvPr id="3"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8</xdr:col>
      <xdr:colOff>647700</xdr:colOff>
      <xdr:row>35</xdr:row>
      <xdr:rowOff>114300</xdr:rowOff>
    </xdr:from>
    <xdr:to>
      <xdr:col>18</xdr:col>
      <xdr:colOff>482600</xdr:colOff>
      <xdr:row>58</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5</xdr:col>
      <xdr:colOff>0</xdr:colOff>
      <xdr:row>5</xdr:row>
      <xdr:rowOff>0</xdr:rowOff>
    </xdr:from>
    <xdr:to>
      <xdr:col>18</xdr:col>
      <xdr:colOff>241300</xdr:colOff>
      <xdr:row>49</xdr:row>
      <xdr:rowOff>0</xdr:rowOff>
    </xdr:to>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6</xdr:col>
      <xdr:colOff>241300</xdr:colOff>
      <xdr:row>8</xdr:row>
      <xdr:rowOff>25400</xdr:rowOff>
    </xdr:from>
    <xdr:to>
      <xdr:col>14</xdr:col>
      <xdr:colOff>241300</xdr:colOff>
      <xdr:row>49</xdr:row>
      <xdr:rowOff>88900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6</xdr:col>
      <xdr:colOff>508000</xdr:colOff>
      <xdr:row>94</xdr:row>
      <xdr:rowOff>63500</xdr:rowOff>
    </xdr:from>
    <xdr:to>
      <xdr:col>15</xdr:col>
      <xdr:colOff>571500</xdr:colOff>
      <xdr:row>122</xdr:row>
      <xdr:rowOff>25400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15</xdr:row>
      <xdr:rowOff>114300</xdr:rowOff>
    </xdr:from>
    <xdr:to>
      <xdr:col>15</xdr:col>
      <xdr:colOff>114300</xdr:colOff>
      <xdr:row>41</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6</xdr:col>
      <xdr:colOff>546100</xdr:colOff>
      <xdr:row>8</xdr:row>
      <xdr:rowOff>139700</xdr:rowOff>
    </xdr:from>
    <xdr:to>
      <xdr:col>15</xdr:col>
      <xdr:colOff>533400</xdr:colOff>
      <xdr:row>33</xdr:row>
      <xdr:rowOff>12700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469900</xdr:colOff>
      <xdr:row>53</xdr:row>
      <xdr:rowOff>127000</xdr:rowOff>
    </xdr:to>
    <xdr:pic>
      <xdr:nvPicPr>
        <xdr:cNvPr id="2" name="Picture 1" descr="FRA_Data60+_PhysicalHarmViolenceWomen.pdf"/>
        <xdr:cNvPicPr>
          <a:picLocks noChangeAspect="1"/>
        </xdr:cNvPicPr>
      </xdr:nvPicPr>
      <xdr:blipFill>
        <a:blip xmlns:r="http://schemas.openxmlformats.org/officeDocument/2006/relationships" r:embed="rId1"/>
        <a:stretch>
          <a:fillRect/>
        </a:stretch>
      </xdr:blipFill>
      <xdr:spPr>
        <a:xfrm>
          <a:off x="0" y="0"/>
          <a:ext cx="9550400" cy="955040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469900</xdr:colOff>
      <xdr:row>69</xdr:row>
      <xdr:rowOff>152400</xdr:rowOff>
    </xdr:to>
    <xdr:pic>
      <xdr:nvPicPr>
        <xdr:cNvPr id="2" name="Picture 1" descr="FRA_Data60+_PsychologConsequencesWomen.pdf"/>
        <xdr:cNvPicPr>
          <a:picLocks noChangeAspect="1"/>
        </xdr:cNvPicPr>
      </xdr:nvPicPr>
      <xdr:blipFill>
        <a:blip xmlns:r="http://schemas.openxmlformats.org/officeDocument/2006/relationships" r:embed="rId1"/>
        <a:stretch>
          <a:fillRect/>
        </a:stretch>
      </xdr:blipFill>
      <xdr:spPr>
        <a:xfrm>
          <a:off x="0" y="0"/>
          <a:ext cx="9550400" cy="124206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xdr:from>
      <xdr:col>5</xdr:col>
      <xdr:colOff>190500</xdr:colOff>
      <xdr:row>15</xdr:row>
      <xdr:rowOff>63500</xdr:rowOff>
    </xdr:from>
    <xdr:to>
      <xdr:col>14</xdr:col>
      <xdr:colOff>292100</xdr:colOff>
      <xdr:row>41</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10</xdr:col>
      <xdr:colOff>25399</xdr:colOff>
      <xdr:row>2</xdr:row>
      <xdr:rowOff>88901</xdr:rowOff>
    </xdr:from>
    <xdr:to>
      <xdr:col>21</xdr:col>
      <xdr:colOff>254000</xdr:colOff>
      <xdr:row>20</xdr:row>
      <xdr:rowOff>63501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uden/Desktop/C:\Users\Victoria%20FdC\Downloads\Figures%20for%20Report%20Lou.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auden/Desktop/C:\Users\nqt552\AppData\Local\Microsoft\Windows\Temporary%20Internet%20Files\Content.IE5\C8PPXF9L\DataForFiguresForRepor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uden/Desktop/C:\Users\Victoria%20FdC\Downloads\GRAPHS\Unemploymen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gauden/Desktop/C:\Users\Victoria%20FdC\Downloads\GRAPHS\Infant%20death.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gauden/Desktop/C:\Users\Victoria%20FdC\Downloads\GRAPHS\SRH%20by%20labour%20statu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uden/Desktop/C:\Users\Victoria%20FdC\Downloads\GRAPHS\WHO_tab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gauden/Desktop/C:\Users\Victoria%20FdC\Downloads\GRAPHS\SRH_las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gauden/Desktop/C:\Users\SJS_EquiACT\Desktop\EquiACT_2015\Women'sHlthReportEURO\DraftReport\DraftReportPeerReview\PM's%20Feedback\mortality%20graph%20for%20european%20region.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uden/Desktop/C:\Users\SJS_EquiACT\Desktop\EquiACT_2015\Women'sHlthReportEURO\DraftReport\DraftReportPeerReview\FinalWorkingVersions\Figures\EurostatSelfRatedHlth_65+Income.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qt552\AppData\Local\Microsoft\Windows\Temporary%20Internet%20Files\Content.IE5\C8PPXF9L\DataForFiguresForRepor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Victoria%20FdC\Downloads\Figures%20for%20Report%20Lou.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Victoria%20FdC\Downloads\GRAPHS\Unemploymen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Victoria%20FdC\Downloads\GRAPHS\Infant%20death.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Victoria%20FdC\Downloads\GRAPHS\SRH%20by%20labour%20statu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Victoria%20FdC\Downloads\GRAPHS\WHO_tables.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Victoria%20FdC\Downloads\GRAPHS\SRH_last.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SJS_EquiACT\Desktop\EquiACT_2015\Women'sHlthReportEURO\DraftReport\DraftReportPeerReview\PM's%20Feedback\mortality%20graph%20for%20european%20region.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SJS_EquiACT\Desktop\EquiACT_2015\Women'sHlthReportEURO\DraftReport\DraftReportPeerReview\FinalWorkingVersions\Figures\EurostatSelfRatedHlth_65+Incom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2"/>
      <sheetName val="Figure10"/>
      <sheetName val="Figure9"/>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10"/>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ale unemployment rate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bability of dying befor age "/>
      <sheetName val="Infant death by sex"/>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H and labour statu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HD &amp; Stroke 50-69"/>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aception any method"/>
      <sheetName val="Contraception modern"/>
      <sheetName val="Contraception unmet need"/>
      <sheetName val="Maternal mortality MDG"/>
      <sheetName val="Anten. care 1 visit URBAN_RURAL"/>
    </sheetNames>
    <sheetDataSet>
      <sheetData sheetId="0" refreshError="1"/>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1"/>
      <sheetName val="Figure 2"/>
      <sheetName val="Figure3"/>
      <sheetName val="Figure4"/>
      <sheetName val="Figure5"/>
      <sheetName val="Figure6a"/>
      <sheetName val="Figure6b"/>
      <sheetName val="Figure7"/>
      <sheetName val="Figure8"/>
      <sheetName val="Figure9"/>
      <sheetName val="Figure10"/>
      <sheetName val="Figure11"/>
      <sheetName val="Figure12"/>
      <sheetName val="Figure13a"/>
      <sheetName val="Figure13b"/>
      <sheetName val="Figure14"/>
      <sheetName val="Figure 15"/>
      <sheetName val="Figure 16"/>
      <sheetName val="Figure17"/>
      <sheetName val="Figure18"/>
      <sheetName val="Figure19"/>
      <sheetName val="Figure20"/>
      <sheetName val="Figure 21"/>
      <sheetName val="Figure 22"/>
      <sheetName val="Figure23"/>
      <sheetName val="Figure24"/>
      <sheetName val="Figure25a"/>
      <sheetName val="Figure25b"/>
      <sheetName val="Figure25c"/>
      <sheetName val="Figure26a"/>
      <sheetName val="Figure26b"/>
      <sheetName val="Figure27"/>
      <sheetName val="Figure28"/>
      <sheetName val="Figure29"/>
      <sheetName val="Annex Fig 5.2.1"/>
      <sheetName val="Annex Fig 5.3.1"/>
    </sheetNames>
    <sheetDataSet>
      <sheetData sheetId="0"/>
      <sheetData sheetId="1"/>
      <sheetData sheetId="2"/>
      <sheetData sheetId="3"/>
      <sheetData sheetId="4"/>
      <sheetData sheetId="5"/>
      <sheetData sheetId="6"/>
      <sheetData sheetId="7"/>
      <sheetData sheetId="8"/>
      <sheetData sheetId="9"/>
      <sheetData sheetId="10">
        <row r="6">
          <cell r="C6" t="str">
            <v>Lower respiratory infections</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1"/>
      <sheetName val="Figure2"/>
      <sheetName val="Figure4"/>
      <sheetName val="Figure5"/>
      <sheetName val="Figure6a"/>
      <sheetName val="Figure6b"/>
      <sheetName val="Figure7"/>
      <sheetName val="Figure8"/>
      <sheetName val="Figure9"/>
      <sheetName val="Figure10"/>
      <sheetName val="Figure 11"/>
      <sheetName val="Figure12"/>
    </sheetNames>
    <sheetDataSet>
      <sheetData sheetId="0">
        <row r="4">
          <cell r="H4" t="str">
            <v>LEwom-LEmen 1990</v>
          </cell>
        </row>
      </sheetData>
      <sheetData sheetId="1">
        <row r="5">
          <cell r="E5" t="str">
            <v>Healthy life expectancy at birth</v>
          </cell>
        </row>
      </sheetData>
      <sheetData sheetId="2" refreshError="1"/>
      <sheetData sheetId="3">
        <row r="5">
          <cell r="A5" t="str">
            <v>Turkey</v>
          </cell>
        </row>
      </sheetData>
      <sheetData sheetId="4" refreshError="1"/>
      <sheetData sheetId="5" refreshError="1"/>
      <sheetData sheetId="6">
        <row r="6">
          <cell r="A6" t="str">
            <v>The former Yugoslav Republic of Macedonia</v>
          </cell>
        </row>
      </sheetData>
      <sheetData sheetId="7">
        <row r="6">
          <cell r="A6" t="str">
            <v>Serbia</v>
          </cell>
        </row>
      </sheetData>
      <sheetData sheetId="8">
        <row r="13">
          <cell r="B13" t="str">
            <v>Women</v>
          </cell>
        </row>
      </sheetData>
      <sheetData sheetId="9">
        <row r="116">
          <cell r="C116" t="str">
            <v>Road injuries</v>
          </cell>
        </row>
      </sheetData>
      <sheetData sheetId="10" refreshError="1"/>
      <sheetData sheetId="1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ale unemployment rate1"/>
      <sheetName val="Long-term female unemployment"/>
      <sheetName val="Female unemployment rate2"/>
      <sheetName val="Long-term female unemployment r"/>
    </sheetNames>
    <sheetDataSet>
      <sheetData sheetId="0">
        <row r="11">
          <cell r="D11">
            <v>2007</v>
          </cell>
        </row>
      </sheetData>
      <sheetData sheetId="1">
        <row r="10">
          <cell r="D10" t="str">
            <v>2007</v>
          </cell>
        </row>
      </sheetData>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ant death by sex"/>
      <sheetName val="Probability of dying befor age "/>
      <sheetName val="Sheet3"/>
    </sheetNames>
    <sheetDataSet>
      <sheetData sheetId="0">
        <row r="3">
          <cell r="B3">
            <v>2000</v>
          </cell>
        </row>
      </sheetData>
      <sheetData sheetId="1">
        <row r="3">
          <cell r="B3">
            <v>2000</v>
          </cell>
        </row>
      </sheetData>
      <sheetData sheetId="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H and labour status"/>
      <sheetName val="per countries for bad very bad"/>
    </sheetNames>
    <sheetDataSet>
      <sheetData sheetId="0">
        <row r="2">
          <cell r="B2" t="str">
            <v>Very good/good</v>
          </cell>
        </row>
      </sheetData>
      <sheetData sheetId="1">
        <row r="2">
          <cell r="B2" t="str">
            <v>Male</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PV"/>
      <sheetName val="Poverty"/>
      <sheetName val="1. Obesity_Tobacco"/>
      <sheetName val="1. Health conditions 2000_2012"/>
      <sheetName val="2. Regions Mortality_Burden"/>
      <sheetName val="Hoja25"/>
      <sheetName val="6. Life expectancy"/>
      <sheetName val="5. HALE 2000"/>
      <sheetName val="5. HALE 2012"/>
      <sheetName val="4. Gender inequality index"/>
      <sheetName val="5.HALE-LE (years in ill health)"/>
      <sheetName val="7. Female physicians map"/>
      <sheetName val="7. Graph female physician"/>
      <sheetName val="9. Adult mortality rate"/>
      <sheetName val="9. Deaths by age group"/>
      <sheetName val="11. GDP"/>
      <sheetName val="8. Female LE vs. GDP"/>
      <sheetName val="8. Female LE vs. Female GNI"/>
      <sheetName val="6. Time trend of LEwomen-LEmen"/>
      <sheetName val="10. Self-perceived health age"/>
      <sheetName val="12. Education"/>
      <sheetName val="Mortality vs. education"/>
      <sheetName val="Adolesc. birth rate vs. educati"/>
      <sheetName val="Labour force male vs. female"/>
      <sheetName val="Health expenditure vs. HIV"/>
      <sheetName val="Years of schooling male vs. fem"/>
      <sheetName val="Old age pension recipient"/>
      <sheetName val="Suicide rate"/>
      <sheetName val="Justification wife beating"/>
      <sheetName val="Fertility rate"/>
      <sheetName val="Paid maternity leave"/>
      <sheetName val="Urban Rural sanitation"/>
      <sheetName val="Urban Rural water"/>
      <sheetName val="Physical inactivity"/>
      <sheetName val="IHD &amp; Stroke 50-69"/>
      <sheetName val="Gender Gap Index"/>
      <sheetName val="Secondary education EUROSTAT"/>
      <sheetName val="Tertiary education EUROSTAT"/>
      <sheetName val="Female degree urb EUROSTAT"/>
      <sheetName val="Education OECD"/>
      <sheetName val="MMR Unicef"/>
      <sheetName val="Youth literacy rate"/>
      <sheetName val="Adult literacy rate"/>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5">
          <cell r="B5" t="str">
            <v>Ischaemic heart disease  (60-69 years), 2012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nal mortality MDG"/>
      <sheetName val="Maternal deaths abortion"/>
      <sheetName val="Coverage anten. care 1 visit"/>
      <sheetName val="Anten. care 1 visit URBAN_RURAL"/>
      <sheetName val="Anten.care 4 visits"/>
      <sheetName val="Anten.care 4 visits URBAN RURA "/>
      <sheetName val="1 vs. 4 visits antenatal care"/>
      <sheetName val="Contraception any method data"/>
      <sheetName val="Contraception any method"/>
      <sheetName val="Data contraception modern"/>
      <sheetName val="Contraception modern"/>
      <sheetName val="Data Contraception unmet need"/>
      <sheetName val="Contraception unmet need"/>
      <sheetName val="Hoja11"/>
    </sheetNames>
    <sheetDataSet>
      <sheetData sheetId="0">
        <row r="5">
          <cell r="A5" t="str">
            <v>Belarus</v>
          </cell>
        </row>
      </sheetData>
      <sheetData sheetId="1" refreshError="1"/>
      <sheetData sheetId="2" refreshError="1"/>
      <sheetData sheetId="3">
        <row r="7">
          <cell r="E7" t="str">
            <v>Urban</v>
          </cell>
        </row>
      </sheetData>
      <sheetData sheetId="4" refreshError="1"/>
      <sheetData sheetId="5" refreshError="1"/>
      <sheetData sheetId="6" refreshError="1"/>
      <sheetData sheetId="7" refreshError="1"/>
      <sheetData sheetId="8">
        <row r="4">
          <cell r="B4" t="str">
            <v>Last year available</v>
          </cell>
        </row>
      </sheetData>
      <sheetData sheetId="9" refreshError="1"/>
      <sheetData sheetId="10">
        <row r="4">
          <cell r="B4" t="str">
            <v>Last available</v>
          </cell>
        </row>
      </sheetData>
      <sheetData sheetId="11" refreshError="1"/>
      <sheetData sheetId="12">
        <row r="4">
          <cell r="B4" t="str">
            <v>Last available</v>
          </cell>
        </row>
      </sheetData>
      <sheetData sheetId="1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1"/>
      <sheetName val="Sheet1"/>
      <sheetName val="Sheet2"/>
      <sheetName val="Sheet3"/>
    </sheetNames>
    <sheetDataSet>
      <sheetData sheetId="0" refreshError="1"/>
      <sheetData sheetId="1">
        <row r="1">
          <cell r="B1" t="str">
            <v xml:space="preserve">All age </v>
          </cell>
        </row>
      </sheetData>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SRH Sorted"/>
    </sheetNames>
    <sheetDataSet>
      <sheetData sheetId="0">
        <row r="124">
          <cell r="B124">
            <v>29.5</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pps.who.int/gho/data/node.main.3?lang=en%20%5bDAMIAN%20-%20WEB%20ADDRESS%20WILL%20APPEAR%20IN%20REF%20LIST,%20NOT%20HERE%5d" TargetMode="External"/><Relationship Id="rId2" Type="http://schemas.openxmlformats.org/officeDocument/2006/relationships/printerSettings" Target="../printerSettings/printerSettings1.bin"/><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pps.who.int/gho/data/node.main.3?lang=en" TargetMode="External"/><Relationship Id="rId2"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http://hdr.undp.org/en/content/table-4-gender-inequality-index" TargetMode="External"/><Relationship Id="rId2"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hyperlink" Target="http://vizhub.healthdata.org/irank/arrow.php" TargetMode="External"/><Relationship Id="rId2"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 Id="rId2"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46" Type="http://schemas.openxmlformats.org/officeDocument/2006/relationships/hyperlink" Target="file:///C:/en/countries/profiles/UZB.html" TargetMode="External"/><Relationship Id="rId47" Type="http://schemas.openxmlformats.org/officeDocument/2006/relationships/hyperlink" Target="file:///C:/en/countries/profiles/KGZ.html" TargetMode="External"/><Relationship Id="rId48" Type="http://schemas.openxmlformats.org/officeDocument/2006/relationships/hyperlink" Target="file:///C:/en/countries/profiles/TJK.html" TargetMode="External"/><Relationship Id="rId49" Type="http://schemas.openxmlformats.org/officeDocument/2006/relationships/hyperlink" Target="file:///C:/en/countries/profiles/SMR.html" TargetMode="External"/><Relationship Id="rId20" Type="http://schemas.openxmlformats.org/officeDocument/2006/relationships/hyperlink" Target="file:///C:/en/countries/profiles/CZE.html" TargetMode="External"/><Relationship Id="rId21" Type="http://schemas.openxmlformats.org/officeDocument/2006/relationships/hyperlink" Target="file:///C:/en/countries/profiles/GRC.html" TargetMode="External"/><Relationship Id="rId22" Type="http://schemas.openxmlformats.org/officeDocument/2006/relationships/hyperlink" Target="file:///C:/en/countries/profiles/CYP.html" TargetMode="External"/><Relationship Id="rId23" Type="http://schemas.openxmlformats.org/officeDocument/2006/relationships/hyperlink" Target="file:///C:/en/countries/profiles/EST.html" TargetMode="External"/><Relationship Id="rId24" Type="http://schemas.openxmlformats.org/officeDocument/2006/relationships/hyperlink" Target="file:///C:/en/countries/profiles/POL.html" TargetMode="External"/><Relationship Id="rId25" Type="http://schemas.openxmlformats.org/officeDocument/2006/relationships/hyperlink" Target="file:///C:/en/countries/profiles/LTU.html" TargetMode="External"/><Relationship Id="rId26" Type="http://schemas.openxmlformats.org/officeDocument/2006/relationships/hyperlink" Target="file:///C:/en/countries/profiles/SVK.html" TargetMode="External"/><Relationship Id="rId27" Type="http://schemas.openxmlformats.org/officeDocument/2006/relationships/hyperlink" Target="file:///C:/en/countries/profiles/MLT.html" TargetMode="External"/><Relationship Id="rId28" Type="http://schemas.openxmlformats.org/officeDocument/2006/relationships/hyperlink" Target="file:///C:/en/countries/profiles/PRT.html" TargetMode="External"/><Relationship Id="rId29" Type="http://schemas.openxmlformats.org/officeDocument/2006/relationships/hyperlink" Target="file:///C:/en/countries/profiles/HUN.html" TargetMode="External"/><Relationship Id="rId50" Type="http://schemas.openxmlformats.org/officeDocument/2006/relationships/drawing" Target="../drawings/drawing6.xml"/><Relationship Id="rId1" Type="http://schemas.openxmlformats.org/officeDocument/2006/relationships/hyperlink" Target="http://stats.uis.unesco.org/" TargetMode="External"/><Relationship Id="rId2" Type="http://schemas.openxmlformats.org/officeDocument/2006/relationships/hyperlink" Target="file:///C:/en/countries/profiles/NOR.html" TargetMode="External"/><Relationship Id="rId3" Type="http://schemas.openxmlformats.org/officeDocument/2006/relationships/hyperlink" Target="file:///C:/en/countries/profiles/CHE.html" TargetMode="External"/><Relationship Id="rId4" Type="http://schemas.openxmlformats.org/officeDocument/2006/relationships/hyperlink" Target="file:///C:/en/countries/profiles/NLD.html" TargetMode="External"/><Relationship Id="rId5" Type="http://schemas.openxmlformats.org/officeDocument/2006/relationships/hyperlink" Target="file:///C:/en/countries/profiles/DEU.html" TargetMode="External"/><Relationship Id="rId30" Type="http://schemas.openxmlformats.org/officeDocument/2006/relationships/hyperlink" Target="file:///C:/en/countries/profiles/HRV.html" TargetMode="External"/><Relationship Id="rId31" Type="http://schemas.openxmlformats.org/officeDocument/2006/relationships/hyperlink" Target="file:///C:/en/countries/profiles/LVA.html" TargetMode="External"/><Relationship Id="rId32" Type="http://schemas.openxmlformats.org/officeDocument/2006/relationships/hyperlink" Target="file:///C:/en/countries/profiles/MNE.html" TargetMode="External"/><Relationship Id="rId9" Type="http://schemas.openxmlformats.org/officeDocument/2006/relationships/hyperlink" Target="file:///C:/en/countries/profiles/GBR.html" TargetMode="External"/><Relationship Id="rId6" Type="http://schemas.openxmlformats.org/officeDocument/2006/relationships/hyperlink" Target="file:///C:/en/countries/profiles/DNK.html" TargetMode="External"/><Relationship Id="rId7" Type="http://schemas.openxmlformats.org/officeDocument/2006/relationships/hyperlink" Target="file:///C:/en/countries/profiles/SWE.html" TargetMode="External"/><Relationship Id="rId8" Type="http://schemas.openxmlformats.org/officeDocument/2006/relationships/hyperlink" Target="file:///C:/en/countries/profiles/ISL.html" TargetMode="External"/><Relationship Id="rId33" Type="http://schemas.openxmlformats.org/officeDocument/2006/relationships/hyperlink" Target="file:///C:/en/countries/profiles/BLR.html" TargetMode="External"/><Relationship Id="rId34" Type="http://schemas.openxmlformats.org/officeDocument/2006/relationships/hyperlink" Target="file:///C:/en/countries/profiles/ROU.html" TargetMode="External"/><Relationship Id="rId35" Type="http://schemas.openxmlformats.org/officeDocument/2006/relationships/hyperlink" Target="file:///C:/en/countries/profiles/RUS.html" TargetMode="External"/><Relationship Id="rId36" Type="http://schemas.openxmlformats.org/officeDocument/2006/relationships/hyperlink" Target="file:///C:/en/countries/profiles/BGR.html" TargetMode="External"/><Relationship Id="rId10" Type="http://schemas.openxmlformats.org/officeDocument/2006/relationships/hyperlink" Target="file:///C:/en/countries/profiles/LIE.html" TargetMode="External"/><Relationship Id="rId11" Type="http://schemas.openxmlformats.org/officeDocument/2006/relationships/hyperlink" Target="file:///C:/en/countries/profiles/ISR.html" TargetMode="External"/><Relationship Id="rId12" Type="http://schemas.openxmlformats.org/officeDocument/2006/relationships/hyperlink" Target="file:///C:/en/countries/profiles/FRA.html" TargetMode="External"/><Relationship Id="rId13" Type="http://schemas.openxmlformats.org/officeDocument/2006/relationships/hyperlink" Target="file:///C:/en/countries/profiles/LUX.html" TargetMode="External"/><Relationship Id="rId14" Type="http://schemas.openxmlformats.org/officeDocument/2006/relationships/hyperlink" Target="file:///C:/en/countries/profiles/BEL.html" TargetMode="External"/><Relationship Id="rId15" Type="http://schemas.openxmlformats.org/officeDocument/2006/relationships/hyperlink" Target="file:///C:/en/countries/profiles/AUT.html" TargetMode="External"/><Relationship Id="rId16" Type="http://schemas.openxmlformats.org/officeDocument/2006/relationships/hyperlink" Target="file:///C:/en/countries/profiles/FIN.html" TargetMode="External"/><Relationship Id="rId17" Type="http://schemas.openxmlformats.org/officeDocument/2006/relationships/hyperlink" Target="file:///C:/en/countries/profiles/SVN.html" TargetMode="External"/><Relationship Id="rId18" Type="http://schemas.openxmlformats.org/officeDocument/2006/relationships/hyperlink" Target="file:///C:/en/countries/profiles/ITA.html" TargetMode="External"/><Relationship Id="rId19" Type="http://schemas.openxmlformats.org/officeDocument/2006/relationships/hyperlink" Target="file:///C:/en/countries/profiles/ESP.html" TargetMode="External"/><Relationship Id="rId37" Type="http://schemas.openxmlformats.org/officeDocument/2006/relationships/hyperlink" Target="file:///C:/en/countries/profiles/TUR.html" TargetMode="External"/><Relationship Id="rId38" Type="http://schemas.openxmlformats.org/officeDocument/2006/relationships/hyperlink" Target="file:///C:/en/countries/profiles/KAZ.html" TargetMode="External"/><Relationship Id="rId39" Type="http://schemas.openxmlformats.org/officeDocument/2006/relationships/hyperlink" Target="file:///C:/en/countries/profiles/AZE.html" TargetMode="External"/><Relationship Id="rId40" Type="http://schemas.openxmlformats.org/officeDocument/2006/relationships/hyperlink" Target="file:///C:/en/countries/profiles/SRB.html" TargetMode="External"/><Relationship Id="rId41" Type="http://schemas.openxmlformats.org/officeDocument/2006/relationships/hyperlink" Target="file:///C:/en/countries/profiles/GEO.html" TargetMode="External"/><Relationship Id="rId42" Type="http://schemas.openxmlformats.org/officeDocument/2006/relationships/hyperlink" Target="file:///C:/en/countries/profiles/UKR.html" TargetMode="External"/><Relationship Id="rId43" Type="http://schemas.openxmlformats.org/officeDocument/2006/relationships/hyperlink" Target="file:///C:/en/countries/profiles/MKD.html" TargetMode="External"/><Relationship Id="rId44" Type="http://schemas.openxmlformats.org/officeDocument/2006/relationships/hyperlink" Target="file:///C:/en/countries/profiles/ARM.html" TargetMode="External"/><Relationship Id="rId45" Type="http://schemas.openxmlformats.org/officeDocument/2006/relationships/hyperlink" Target="file:///C:/en/countries/profiles/MDA.html" TargetMode="External"/></Relationships>
</file>

<file path=xl/worksheets/_rels/sheet8.xml.rels><?xml version="1.0" encoding="UTF-8" standalone="yes"?>
<Relationships xmlns="http://schemas.openxmlformats.org/package/2006/relationships"><Relationship Id="rId46" Type="http://schemas.openxmlformats.org/officeDocument/2006/relationships/hyperlink" Target="file:///C:/en/countries/profiles/MDA.html" TargetMode="External"/><Relationship Id="rId47" Type="http://schemas.openxmlformats.org/officeDocument/2006/relationships/hyperlink" Target="file:///C:/en/countries/profiles/UZB.html" TargetMode="External"/><Relationship Id="rId48" Type="http://schemas.openxmlformats.org/officeDocument/2006/relationships/hyperlink" Target="file:///C:/en/countries/profiles/KGZ.html" TargetMode="External"/><Relationship Id="rId49" Type="http://schemas.openxmlformats.org/officeDocument/2006/relationships/hyperlink" Target="file:///C:/en/countries/profiles/TJK.html" TargetMode="External"/><Relationship Id="rId20" Type="http://schemas.openxmlformats.org/officeDocument/2006/relationships/hyperlink" Target="file:///C:/en/countries/profiles/GRC.html" TargetMode="External"/><Relationship Id="rId21" Type="http://schemas.openxmlformats.org/officeDocument/2006/relationships/hyperlink" Target="file:///C:/en/countries/profiles/CYP.html" TargetMode="External"/><Relationship Id="rId22" Type="http://schemas.openxmlformats.org/officeDocument/2006/relationships/hyperlink" Target="file:///C:/en/countries/profiles/EST.html" TargetMode="External"/><Relationship Id="rId23" Type="http://schemas.openxmlformats.org/officeDocument/2006/relationships/hyperlink" Target="file:///C:/en/countries/profiles/POL.html" TargetMode="External"/><Relationship Id="rId24" Type="http://schemas.openxmlformats.org/officeDocument/2006/relationships/hyperlink" Target="file:///C:/en/countries/profiles/LTU.html" TargetMode="External"/><Relationship Id="rId25" Type="http://schemas.openxmlformats.org/officeDocument/2006/relationships/hyperlink" Target="file:///C:/en/countries/profiles/SVK.html" TargetMode="External"/><Relationship Id="rId26" Type="http://schemas.openxmlformats.org/officeDocument/2006/relationships/hyperlink" Target="file:///C:/en/countries/profiles/MLT.html" TargetMode="External"/><Relationship Id="rId27" Type="http://schemas.openxmlformats.org/officeDocument/2006/relationships/hyperlink" Target="file:///C:/en/countries/profiles/PRT.html" TargetMode="External"/><Relationship Id="rId28" Type="http://schemas.openxmlformats.org/officeDocument/2006/relationships/hyperlink" Target="file:///C:/en/countries/profiles/HUN.html" TargetMode="External"/><Relationship Id="rId29" Type="http://schemas.openxmlformats.org/officeDocument/2006/relationships/hyperlink" Target="file:///C:/en/countries/profiles/HRV.html" TargetMode="External"/><Relationship Id="rId50" Type="http://schemas.openxmlformats.org/officeDocument/2006/relationships/drawing" Target="../drawings/drawing7.xml"/><Relationship Id="rId1" Type="http://schemas.openxmlformats.org/officeDocument/2006/relationships/hyperlink" Target="file:///C:/en/countries/profiles/NOR.html" TargetMode="External"/><Relationship Id="rId2" Type="http://schemas.openxmlformats.org/officeDocument/2006/relationships/hyperlink" Target="file:///C:/en/countries/profiles/CHE.html" TargetMode="External"/><Relationship Id="rId3" Type="http://schemas.openxmlformats.org/officeDocument/2006/relationships/hyperlink" Target="file:///C:/en/countries/profiles/NLD.html" TargetMode="External"/><Relationship Id="rId4" Type="http://schemas.openxmlformats.org/officeDocument/2006/relationships/hyperlink" Target="file:///C:/en/countries/profiles/DEU.html" TargetMode="External"/><Relationship Id="rId5" Type="http://schemas.openxmlformats.org/officeDocument/2006/relationships/hyperlink" Target="file:///C:/en/countries/profiles/DNK.html" TargetMode="External"/><Relationship Id="rId30" Type="http://schemas.openxmlformats.org/officeDocument/2006/relationships/hyperlink" Target="file:///C:/en/countries/profiles/LVA.html" TargetMode="External"/><Relationship Id="rId31" Type="http://schemas.openxmlformats.org/officeDocument/2006/relationships/hyperlink" Target="file:///C:/en/countries/profiles/MNE.html" TargetMode="External"/><Relationship Id="rId32" Type="http://schemas.openxmlformats.org/officeDocument/2006/relationships/hyperlink" Target="file:///C:/en/countries/profiles/BLR.html" TargetMode="External"/><Relationship Id="rId9" Type="http://schemas.openxmlformats.org/officeDocument/2006/relationships/hyperlink" Target="file:///C:/en/countries/profiles/GBR.html" TargetMode="External"/><Relationship Id="rId6" Type="http://schemas.openxmlformats.org/officeDocument/2006/relationships/hyperlink" Target="file:///C:/en/countries/profiles/IRL.html" TargetMode="External"/><Relationship Id="rId7" Type="http://schemas.openxmlformats.org/officeDocument/2006/relationships/hyperlink" Target="file:///C:/en/countries/profiles/SWE.html" TargetMode="External"/><Relationship Id="rId8" Type="http://schemas.openxmlformats.org/officeDocument/2006/relationships/hyperlink" Target="file:///C:/en/countries/profiles/ISL.html" TargetMode="External"/><Relationship Id="rId33" Type="http://schemas.openxmlformats.org/officeDocument/2006/relationships/hyperlink" Target="file:///C:/en/countries/profiles/ROU.html" TargetMode="External"/><Relationship Id="rId34" Type="http://schemas.openxmlformats.org/officeDocument/2006/relationships/hyperlink" Target="file:///C:/en/countries/profiles/RUS.html" TargetMode="External"/><Relationship Id="rId35" Type="http://schemas.openxmlformats.org/officeDocument/2006/relationships/hyperlink" Target="file:///C:/en/countries/profiles/BGR.html" TargetMode="External"/><Relationship Id="rId36" Type="http://schemas.openxmlformats.org/officeDocument/2006/relationships/hyperlink" Target="file:///C:/en/countries/profiles/TUR.html" TargetMode="External"/><Relationship Id="rId10" Type="http://schemas.openxmlformats.org/officeDocument/2006/relationships/hyperlink" Target="file:///C:/en/countries/profiles/ISR.html" TargetMode="External"/><Relationship Id="rId11" Type="http://schemas.openxmlformats.org/officeDocument/2006/relationships/hyperlink" Target="file:///C:/en/countries/profiles/FRA.html" TargetMode="External"/><Relationship Id="rId12" Type="http://schemas.openxmlformats.org/officeDocument/2006/relationships/hyperlink" Target="file:///C:/en/countries/profiles/LUX.html" TargetMode="External"/><Relationship Id="rId13" Type="http://schemas.openxmlformats.org/officeDocument/2006/relationships/hyperlink" Target="file:///C:/en/countries/profiles/BEL.html" TargetMode="External"/><Relationship Id="rId14" Type="http://schemas.openxmlformats.org/officeDocument/2006/relationships/hyperlink" Target="file:///C:/en/countries/profiles/AUT.html" TargetMode="External"/><Relationship Id="rId15" Type="http://schemas.openxmlformats.org/officeDocument/2006/relationships/hyperlink" Target="file:///C:/en/countries/profiles/FIN.html" TargetMode="External"/><Relationship Id="rId16" Type="http://schemas.openxmlformats.org/officeDocument/2006/relationships/hyperlink" Target="file:///C:/en/countries/profiles/SVN.html" TargetMode="External"/><Relationship Id="rId17" Type="http://schemas.openxmlformats.org/officeDocument/2006/relationships/hyperlink" Target="file:///C:/en/countries/profiles/ITA.html" TargetMode="External"/><Relationship Id="rId18" Type="http://schemas.openxmlformats.org/officeDocument/2006/relationships/hyperlink" Target="file:///C:/en/countries/profiles/ESP.html" TargetMode="External"/><Relationship Id="rId19" Type="http://schemas.openxmlformats.org/officeDocument/2006/relationships/hyperlink" Target="file:///C:/en/countries/profiles/CZE.html" TargetMode="External"/><Relationship Id="rId37" Type="http://schemas.openxmlformats.org/officeDocument/2006/relationships/hyperlink" Target="file:///C:/en/countries/profiles/KAZ.html" TargetMode="External"/><Relationship Id="rId38" Type="http://schemas.openxmlformats.org/officeDocument/2006/relationships/hyperlink" Target="file:///C:/en/countries/profiles/AZE.html" TargetMode="External"/><Relationship Id="rId39" Type="http://schemas.openxmlformats.org/officeDocument/2006/relationships/hyperlink" Target="file:///C:/en/countries/profiles/SRB.html" TargetMode="External"/><Relationship Id="rId40" Type="http://schemas.openxmlformats.org/officeDocument/2006/relationships/hyperlink" Target="file:///C:/en/countries/profiles/GEO.html" TargetMode="External"/><Relationship Id="rId41" Type="http://schemas.openxmlformats.org/officeDocument/2006/relationships/hyperlink" Target="file:///C:/en/countries/profiles/UKR.html" TargetMode="External"/><Relationship Id="rId42" Type="http://schemas.openxmlformats.org/officeDocument/2006/relationships/hyperlink" Target="file:///C:/en/countries/profiles/MKD.html" TargetMode="External"/><Relationship Id="rId43" Type="http://schemas.openxmlformats.org/officeDocument/2006/relationships/hyperlink" Target="file:///C:/en/countries/profiles/BIH.html" TargetMode="External"/><Relationship Id="rId44" Type="http://schemas.openxmlformats.org/officeDocument/2006/relationships/hyperlink" Target="file:///C:/en/countries/profiles/ARM.html" TargetMode="External"/><Relationship Id="rId45" Type="http://schemas.openxmlformats.org/officeDocument/2006/relationships/hyperlink" Target="file:///C:/en/countries/profiles/ALB.htm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hdr.undp.org/en/data" TargetMode="External"/><Relationship Id="rId2"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hyperlink" Target="http://hdr.undp.org/en/data" TargetMode="External"/><Relationship Id="rId2"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hyperlink" Target="http://hdr.undp.org/en/content/table-4-gender-inequality-index"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hdr.undp.org/en/content/table-4-gender-inequality-index" TargetMode="External"/><Relationship Id="rId2"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1" Type="http://schemas.openxmlformats.org/officeDocument/2006/relationships/hyperlink" Target="http://mdgs.un.org/unsd/mdg/SeriesDetail.aspx?srid=730" TargetMode="External"/><Relationship Id="rId2" Type="http://schemas.openxmlformats.org/officeDocument/2006/relationships/hyperlink" Target="http://mdgs.un.org/unsd/mdg/Data.aspx" TargetMode="External"/><Relationship Id="rId3"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1" Type="http://schemas.openxmlformats.org/officeDocument/2006/relationships/hyperlink" Target="http://mdgs.un.org/unsd/mdg/Data.aspx" TargetMode="External"/><Relationship Id="rId2"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hyperlink" Target="http://mdgs.un.org/unsd/mdg/SeriesDetail.aspx?srid=764" TargetMode="External"/><Relationship Id="rId2"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hyperlink" Target="http://hdr.undp.org/en/data" TargetMode="Externa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1" Type="http://schemas.openxmlformats.org/officeDocument/2006/relationships/hyperlink" Target="http://www.data.unicef.org/maternal-health/antenatal-care" TargetMode="External"/><Relationship Id="rId2"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0"/>
  <sheetViews>
    <sheetView topLeftCell="A40" workbookViewId="0">
      <selection activeCell="A58" sqref="A58:C58"/>
    </sheetView>
  </sheetViews>
  <sheetFormatPr baseColWidth="10" defaultColWidth="10" defaultRowHeight="15" x14ac:dyDescent="0.2"/>
  <cols>
    <col min="1" max="1" width="13.83203125" style="115" customWidth="1"/>
    <col min="2" max="2" width="10.1640625" style="115" customWidth="1"/>
    <col min="3" max="16384" width="10" style="115"/>
  </cols>
  <sheetData>
    <row r="1" spans="1:12" x14ac:dyDescent="0.2">
      <c r="A1" s="187" t="s">
        <v>494</v>
      </c>
      <c r="B1" s="188"/>
      <c r="C1" s="188"/>
      <c r="D1" s="188"/>
      <c r="E1" s="188"/>
      <c r="F1" s="188"/>
      <c r="G1" s="188"/>
    </row>
    <row r="2" spans="1:12" ht="27" x14ac:dyDescent="0.2">
      <c r="A2" s="118" t="s">
        <v>88</v>
      </c>
      <c r="B2" s="118" t="s">
        <v>387</v>
      </c>
      <c r="C2" s="118" t="s">
        <v>386</v>
      </c>
    </row>
    <row r="3" spans="1:12" ht="30" x14ac:dyDescent="0.2">
      <c r="A3" s="115" t="s">
        <v>130</v>
      </c>
      <c r="B3" s="115">
        <v>72</v>
      </c>
      <c r="C3">
        <v>75</v>
      </c>
      <c r="H3" s="191" t="s">
        <v>511</v>
      </c>
      <c r="I3" s="192"/>
      <c r="J3" s="192"/>
      <c r="K3" s="192"/>
      <c r="L3" s="192"/>
    </row>
    <row r="4" spans="1:12" x14ac:dyDescent="0.2">
      <c r="A4" s="115" t="s">
        <v>92</v>
      </c>
      <c r="B4" s="115">
        <v>75</v>
      </c>
      <c r="C4">
        <v>78</v>
      </c>
      <c r="H4" s="192"/>
      <c r="I4" s="192"/>
      <c r="J4" s="192"/>
      <c r="K4" s="192"/>
      <c r="L4" s="192"/>
    </row>
    <row r="5" spans="1:12" x14ac:dyDescent="0.2">
      <c r="A5" s="115" t="s">
        <v>109</v>
      </c>
      <c r="B5" s="115">
        <v>76</v>
      </c>
      <c r="C5">
        <v>81</v>
      </c>
    </row>
    <row r="6" spans="1:12" x14ac:dyDescent="0.2">
      <c r="A6" s="115" t="s">
        <v>118</v>
      </c>
      <c r="B6" s="115">
        <v>68</v>
      </c>
      <c r="C6">
        <v>72</v>
      </c>
    </row>
    <row r="7" spans="1:12" x14ac:dyDescent="0.2">
      <c r="A7" s="115" t="s">
        <v>119</v>
      </c>
      <c r="B7" s="115">
        <v>76</v>
      </c>
      <c r="C7">
        <v>79</v>
      </c>
    </row>
    <row r="8" spans="1:12" x14ac:dyDescent="0.2">
      <c r="A8" s="115" t="s">
        <v>120</v>
      </c>
      <c r="B8" s="115">
        <v>78</v>
      </c>
      <c r="C8">
        <v>80</v>
      </c>
    </row>
    <row r="9" spans="1:12" x14ac:dyDescent="0.2">
      <c r="A9" s="115" t="s">
        <v>42</v>
      </c>
      <c r="B9" s="115">
        <v>73</v>
      </c>
      <c r="C9">
        <v>76</v>
      </c>
    </row>
    <row r="10" spans="1:12" x14ac:dyDescent="0.2">
      <c r="A10" s="115" t="s">
        <v>113</v>
      </c>
      <c r="B10" s="115">
        <v>76</v>
      </c>
      <c r="C10">
        <v>79</v>
      </c>
    </row>
    <row r="11" spans="1:12" x14ac:dyDescent="0.2">
      <c r="A11" s="115" t="s">
        <v>35</v>
      </c>
      <c r="B11" s="115">
        <v>77</v>
      </c>
      <c r="C11">
        <v>80</v>
      </c>
    </row>
    <row r="12" spans="1:12" x14ac:dyDescent="0.2">
      <c r="A12" s="115" t="s">
        <v>94</v>
      </c>
      <c r="B12" s="115">
        <v>76</v>
      </c>
      <c r="C12">
        <v>78</v>
      </c>
    </row>
    <row r="13" spans="1:12" x14ac:dyDescent="0.2">
      <c r="A13" s="115" t="s">
        <v>23</v>
      </c>
      <c r="B13" s="115">
        <v>84</v>
      </c>
      <c r="C13">
        <v>86</v>
      </c>
    </row>
    <row r="14" spans="1:12" x14ac:dyDescent="0.2">
      <c r="A14" s="115" t="s">
        <v>126</v>
      </c>
      <c r="B14" s="115">
        <v>78</v>
      </c>
      <c r="C14">
        <v>81</v>
      </c>
    </row>
    <row r="15" spans="1:12" x14ac:dyDescent="0.2">
      <c r="A15" s="115" t="s">
        <v>129</v>
      </c>
      <c r="B15" s="115">
        <v>75</v>
      </c>
      <c r="C15">
        <v>78</v>
      </c>
    </row>
    <row r="16" spans="1:12" x14ac:dyDescent="0.2">
      <c r="A16" s="115" t="s">
        <v>80</v>
      </c>
      <c r="B16" s="115">
        <v>83</v>
      </c>
      <c r="C16">
        <v>86</v>
      </c>
    </row>
    <row r="17" spans="1:3" x14ac:dyDescent="0.2">
      <c r="A17" s="115" t="s">
        <v>98</v>
      </c>
      <c r="B17" s="115">
        <v>74</v>
      </c>
      <c r="C17">
        <v>75</v>
      </c>
    </row>
    <row r="18" spans="1:3" x14ac:dyDescent="0.2">
      <c r="A18" s="115" t="s">
        <v>102</v>
      </c>
      <c r="B18" s="115">
        <v>81</v>
      </c>
      <c r="C18">
        <v>83</v>
      </c>
    </row>
    <row r="19" spans="1:3" x14ac:dyDescent="0.2">
      <c r="A19" s="115" t="s">
        <v>104</v>
      </c>
      <c r="B19" s="115">
        <v>75</v>
      </c>
      <c r="C19">
        <v>78</v>
      </c>
    </row>
    <row r="20" spans="1:3" x14ac:dyDescent="0.2">
      <c r="A20" s="115" t="s">
        <v>81</v>
      </c>
      <c r="B20" s="115">
        <v>78</v>
      </c>
      <c r="C20">
        <v>81</v>
      </c>
    </row>
    <row r="21" spans="1:3" x14ac:dyDescent="0.2">
      <c r="A21" s="115" t="s">
        <v>107</v>
      </c>
      <c r="B21" s="115">
        <v>78</v>
      </c>
      <c r="C21">
        <v>81</v>
      </c>
    </row>
    <row r="22" spans="1:3" x14ac:dyDescent="0.2">
      <c r="A22" s="115" t="s">
        <v>110</v>
      </c>
      <c r="B22" s="115">
        <v>81</v>
      </c>
      <c r="C22">
        <v>84</v>
      </c>
    </row>
    <row r="23" spans="1:3" x14ac:dyDescent="0.2">
      <c r="A23" s="115" t="s">
        <v>111</v>
      </c>
      <c r="B23" s="115">
        <v>83</v>
      </c>
      <c r="C23">
        <v>85</v>
      </c>
    </row>
    <row r="24" spans="1:3" x14ac:dyDescent="0.2">
      <c r="A24" s="115" t="s">
        <v>22</v>
      </c>
      <c r="B24" s="115">
        <v>69</v>
      </c>
      <c r="C24">
        <v>73</v>
      </c>
    </row>
    <row r="25" spans="1:3" x14ac:dyDescent="0.2">
      <c r="A25" s="115" t="s">
        <v>127</v>
      </c>
      <c r="B25" s="115">
        <v>80</v>
      </c>
      <c r="C25">
        <v>84</v>
      </c>
    </row>
    <row r="26" spans="1:3" ht="30" x14ac:dyDescent="0.2">
      <c r="A26" s="115" t="s">
        <v>128</v>
      </c>
      <c r="B26" s="115">
        <v>71</v>
      </c>
      <c r="C26">
        <v>75</v>
      </c>
    </row>
    <row r="27" spans="1:3" x14ac:dyDescent="0.2">
      <c r="A27" s="115" t="s">
        <v>33</v>
      </c>
      <c r="B27" s="115">
        <v>85</v>
      </c>
      <c r="C27">
        <v>84</v>
      </c>
    </row>
    <row r="28" spans="1:3" x14ac:dyDescent="0.2">
      <c r="A28" s="115" t="s">
        <v>36</v>
      </c>
      <c r="B28" s="115">
        <v>80</v>
      </c>
      <c r="C28">
        <v>83</v>
      </c>
    </row>
    <row r="29" spans="1:3" x14ac:dyDescent="0.2">
      <c r="A29" s="115" t="s">
        <v>37</v>
      </c>
      <c r="B29" s="115">
        <v>83</v>
      </c>
      <c r="C29">
        <v>85</v>
      </c>
    </row>
    <row r="30" spans="1:3" x14ac:dyDescent="0.2">
      <c r="A30" s="115" t="s">
        <v>41</v>
      </c>
      <c r="B30" s="115">
        <v>74</v>
      </c>
      <c r="C30">
        <v>78</v>
      </c>
    </row>
    <row r="31" spans="1:3" x14ac:dyDescent="0.2">
      <c r="A31" s="115" t="s">
        <v>83</v>
      </c>
      <c r="B31" s="115">
        <v>65</v>
      </c>
      <c r="C31">
        <v>67</v>
      </c>
    </row>
    <row r="32" spans="1:3" x14ac:dyDescent="0.2">
      <c r="A32" s="115" t="s">
        <v>97</v>
      </c>
      <c r="B32" s="115">
        <v>73</v>
      </c>
      <c r="C32">
        <v>75</v>
      </c>
    </row>
    <row r="33" spans="1:3" x14ac:dyDescent="0.2">
      <c r="A33" s="115" t="s">
        <v>99</v>
      </c>
      <c r="B33" s="115">
        <v>81</v>
      </c>
      <c r="C33">
        <v>75</v>
      </c>
    </row>
    <row r="34" spans="1:3" x14ac:dyDescent="0.2">
      <c r="A34" s="115" t="s">
        <v>100</v>
      </c>
      <c r="B34" s="115">
        <v>69</v>
      </c>
      <c r="C34">
        <v>83</v>
      </c>
    </row>
    <row r="35" spans="1:3" ht="30" x14ac:dyDescent="0.2">
      <c r="A35" s="115" t="s">
        <v>93</v>
      </c>
      <c r="B35" s="115">
        <v>78</v>
      </c>
      <c r="C35">
        <v>80</v>
      </c>
    </row>
    <row r="36" spans="1:3" x14ac:dyDescent="0.2">
      <c r="A36" s="115" t="s">
        <v>108</v>
      </c>
      <c r="B36" s="115">
        <v>79</v>
      </c>
      <c r="C36">
        <v>82</v>
      </c>
    </row>
    <row r="37" spans="1:3" x14ac:dyDescent="0.2">
      <c r="A37" s="115" t="s">
        <v>82</v>
      </c>
      <c r="B37" s="115">
        <v>81</v>
      </c>
      <c r="C37">
        <v>83</v>
      </c>
    </row>
    <row r="38" spans="1:3" x14ac:dyDescent="0.2">
      <c r="A38" s="115" t="s">
        <v>115</v>
      </c>
      <c r="B38" s="115">
        <v>79</v>
      </c>
      <c r="C38">
        <v>83</v>
      </c>
    </row>
    <row r="39" spans="1:3" x14ac:dyDescent="0.2">
      <c r="A39" s="115" t="s">
        <v>117</v>
      </c>
      <c r="B39" s="115">
        <v>83</v>
      </c>
      <c r="C39">
        <v>85</v>
      </c>
    </row>
    <row r="40" spans="1:3" x14ac:dyDescent="0.2">
      <c r="A40" s="115" t="s">
        <v>121</v>
      </c>
      <c r="B40" s="115">
        <v>81</v>
      </c>
      <c r="C40">
        <v>84</v>
      </c>
    </row>
    <row r="41" spans="1:3" x14ac:dyDescent="0.2">
      <c r="A41" s="115" t="s">
        <v>125</v>
      </c>
      <c r="B41" s="115">
        <v>82</v>
      </c>
      <c r="C41">
        <v>84</v>
      </c>
    </row>
    <row r="42" spans="1:3" x14ac:dyDescent="0.2">
      <c r="A42" s="115" t="s">
        <v>34</v>
      </c>
      <c r="B42" s="115">
        <v>75</v>
      </c>
      <c r="C42">
        <v>77</v>
      </c>
    </row>
    <row r="43" spans="1:3" x14ac:dyDescent="0.2">
      <c r="A43" s="115" t="s">
        <v>39</v>
      </c>
      <c r="B43" s="115">
        <v>83</v>
      </c>
      <c r="C43">
        <v>85</v>
      </c>
    </row>
    <row r="44" spans="1:3" x14ac:dyDescent="0.2">
      <c r="A44" s="115" t="s">
        <v>155</v>
      </c>
      <c r="B44" s="115">
        <v>69</v>
      </c>
      <c r="C44">
        <v>72</v>
      </c>
    </row>
    <row r="45" spans="1:3" x14ac:dyDescent="0.2">
      <c r="A45" s="115" t="s">
        <v>32</v>
      </c>
      <c r="B45" s="115">
        <v>81</v>
      </c>
      <c r="C45">
        <v>83</v>
      </c>
    </row>
    <row r="46" spans="1:3" x14ac:dyDescent="0.2">
      <c r="A46" s="115" t="s">
        <v>114</v>
      </c>
      <c r="B46" s="115">
        <v>82</v>
      </c>
      <c r="C46">
        <v>84</v>
      </c>
    </row>
    <row r="47" spans="1:3" x14ac:dyDescent="0.2">
      <c r="A47" s="115" t="s">
        <v>116</v>
      </c>
      <c r="B47" s="115">
        <v>81</v>
      </c>
      <c r="C47">
        <v>84</v>
      </c>
    </row>
    <row r="48" spans="1:3" x14ac:dyDescent="0.2">
      <c r="A48" s="115" t="s">
        <v>122</v>
      </c>
      <c r="B48" s="115">
        <v>80</v>
      </c>
      <c r="C48">
        <v>83</v>
      </c>
    </row>
    <row r="49" spans="1:8" x14ac:dyDescent="0.2">
      <c r="A49" s="115" t="s">
        <v>123</v>
      </c>
      <c r="B49" s="115">
        <v>77</v>
      </c>
      <c r="C49">
        <v>78</v>
      </c>
    </row>
    <row r="50" spans="1:8" x14ac:dyDescent="0.2">
      <c r="A50" s="115" t="s">
        <v>124</v>
      </c>
      <c r="B50" s="115">
        <v>81</v>
      </c>
      <c r="C50">
        <v>83</v>
      </c>
    </row>
    <row r="51" spans="1:8" x14ac:dyDescent="0.2">
      <c r="A51" s="115" t="s">
        <v>38</v>
      </c>
      <c r="B51" s="115">
        <v>82</v>
      </c>
      <c r="C51">
        <v>84</v>
      </c>
    </row>
    <row r="52" spans="1:8" x14ac:dyDescent="0.2">
      <c r="A52" s="115" t="s">
        <v>512</v>
      </c>
      <c r="B52" s="115">
        <v>76</v>
      </c>
      <c r="C52">
        <v>78</v>
      </c>
    </row>
    <row r="53" spans="1:8" x14ac:dyDescent="0.2">
      <c r="A53" s="115" t="s">
        <v>95</v>
      </c>
      <c r="B53" s="115">
        <v>80</v>
      </c>
      <c r="C53">
        <v>83</v>
      </c>
    </row>
    <row r="54" spans="1:8" x14ac:dyDescent="0.2">
      <c r="A54" s="115" t="s">
        <v>106</v>
      </c>
      <c r="B54" s="115">
        <v>79</v>
      </c>
      <c r="C54">
        <v>84</v>
      </c>
    </row>
    <row r="55" spans="1:8" x14ac:dyDescent="0.2">
      <c r="A55" s="115" t="s">
        <v>40</v>
      </c>
      <c r="B55" s="115">
        <v>65</v>
      </c>
      <c r="C55">
        <v>69</v>
      </c>
    </row>
    <row r="57" spans="1:8" ht="60" x14ac:dyDescent="0.2">
      <c r="A57" s="115" t="s">
        <v>513</v>
      </c>
    </row>
    <row r="58" spans="1:8" x14ac:dyDescent="0.2">
      <c r="A58" s="189" t="s">
        <v>514</v>
      </c>
      <c r="B58" s="190"/>
      <c r="C58" s="190"/>
    </row>
    <row r="60" spans="1:8" x14ac:dyDescent="0.2">
      <c r="G60" s="117"/>
      <c r="H60" s="116"/>
    </row>
  </sheetData>
  <mergeCells count="3">
    <mergeCell ref="A1:G1"/>
    <mergeCell ref="A58:C58"/>
    <mergeCell ref="H3:L4"/>
  </mergeCells>
  <phoneticPr fontId="7" type="noConversion"/>
  <hyperlinks>
    <hyperlink ref="A58" r:id="rId1"/>
  </hyperlinks>
  <pageMargins left="0.7" right="0.7" top="0.75" bottom="0.75" header="0.3" footer="0.3"/>
  <pageSetup paperSize="9" orientation="portrait" horizontalDpi="0"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7"/>
  <sheetViews>
    <sheetView topLeftCell="A46" zoomScaleNormal="70" zoomScalePageLayoutView="70" workbookViewId="0">
      <selection activeCell="E78" sqref="E78"/>
    </sheetView>
  </sheetViews>
  <sheetFormatPr baseColWidth="10" defaultColWidth="9.1640625" defaultRowHeight="15" x14ac:dyDescent="0.2"/>
  <cols>
    <col min="2" max="2" width="16.33203125" customWidth="1"/>
  </cols>
  <sheetData>
    <row r="1" spans="1:18" x14ac:dyDescent="0.2">
      <c r="A1" s="3" t="s">
        <v>329</v>
      </c>
      <c r="G1" s="24"/>
    </row>
    <row r="2" spans="1:18" x14ac:dyDescent="0.2">
      <c r="G2" s="24"/>
      <c r="J2" s="187" t="s">
        <v>515</v>
      </c>
      <c r="K2" s="188"/>
      <c r="L2" s="188"/>
      <c r="M2" s="188"/>
      <c r="N2" s="188"/>
      <c r="O2" s="188"/>
      <c r="P2" s="188"/>
      <c r="Q2" s="188"/>
      <c r="R2" s="188"/>
    </row>
    <row r="3" spans="1:18" x14ac:dyDescent="0.2">
      <c r="J3" s="188"/>
      <c r="K3" s="188"/>
      <c r="L3" s="188"/>
      <c r="M3" s="188"/>
      <c r="N3" s="188"/>
      <c r="O3" s="188"/>
      <c r="P3" s="188"/>
      <c r="Q3" s="188"/>
      <c r="R3" s="188"/>
    </row>
    <row r="4" spans="1:18" x14ac:dyDescent="0.2">
      <c r="A4" s="25" t="s">
        <v>244</v>
      </c>
      <c r="B4" s="26"/>
      <c r="C4" s="26"/>
      <c r="D4" s="26"/>
      <c r="E4" s="26"/>
      <c r="F4" s="26"/>
    </row>
    <row r="5" spans="1:18" x14ac:dyDescent="0.2">
      <c r="A5" s="25" t="s">
        <v>245</v>
      </c>
      <c r="B5" s="25" t="s">
        <v>88</v>
      </c>
      <c r="C5" s="27" t="s">
        <v>246</v>
      </c>
      <c r="D5" s="27" t="s">
        <v>88</v>
      </c>
      <c r="E5" s="25" t="s">
        <v>247</v>
      </c>
      <c r="F5" s="28" t="s">
        <v>248</v>
      </c>
    </row>
    <row r="6" spans="1:18" x14ac:dyDescent="0.2">
      <c r="A6" t="s">
        <v>249</v>
      </c>
      <c r="B6" t="s">
        <v>83</v>
      </c>
      <c r="C6">
        <v>67</v>
      </c>
      <c r="D6" t="s">
        <v>83</v>
      </c>
      <c r="E6">
        <v>59</v>
      </c>
      <c r="F6" s="29">
        <f t="shared" ref="F6:F58" si="0">C6-E6</f>
        <v>8</v>
      </c>
    </row>
    <row r="7" spans="1:18" x14ac:dyDescent="0.2">
      <c r="A7" t="s">
        <v>250</v>
      </c>
      <c r="B7" t="s">
        <v>40</v>
      </c>
      <c r="C7">
        <v>69</v>
      </c>
      <c r="D7" t="s">
        <v>40</v>
      </c>
      <c r="E7">
        <v>60</v>
      </c>
      <c r="F7" s="29">
        <f t="shared" si="0"/>
        <v>9</v>
      </c>
    </row>
    <row r="8" spans="1:18" x14ac:dyDescent="0.2">
      <c r="A8" t="s">
        <v>251</v>
      </c>
      <c r="B8" t="s">
        <v>155</v>
      </c>
      <c r="C8">
        <v>72</v>
      </c>
      <c r="D8" t="s">
        <v>155</v>
      </c>
      <c r="E8">
        <v>62</v>
      </c>
      <c r="F8" s="29">
        <f t="shared" si="0"/>
        <v>10</v>
      </c>
    </row>
    <row r="9" spans="1:18" x14ac:dyDescent="0.2">
      <c r="A9" t="s">
        <v>252</v>
      </c>
      <c r="B9" t="s">
        <v>22</v>
      </c>
      <c r="C9">
        <v>73</v>
      </c>
      <c r="D9" t="s">
        <v>22</v>
      </c>
      <c r="E9">
        <v>63</v>
      </c>
      <c r="F9" s="29">
        <f t="shared" si="0"/>
        <v>10</v>
      </c>
    </row>
    <row r="10" spans="1:18" x14ac:dyDescent="0.2">
      <c r="A10" t="s">
        <v>253</v>
      </c>
      <c r="B10" t="s">
        <v>118</v>
      </c>
      <c r="C10">
        <v>72</v>
      </c>
      <c r="D10" t="s">
        <v>118</v>
      </c>
      <c r="E10">
        <v>64</v>
      </c>
      <c r="F10" s="29">
        <f t="shared" si="0"/>
        <v>8</v>
      </c>
    </row>
    <row r="11" spans="1:18" x14ac:dyDescent="0.2">
      <c r="A11" t="s">
        <v>254</v>
      </c>
      <c r="B11" t="s">
        <v>100</v>
      </c>
      <c r="C11">
        <v>75</v>
      </c>
      <c r="D11" t="s">
        <v>100</v>
      </c>
      <c r="E11">
        <v>65</v>
      </c>
      <c r="F11" s="29">
        <f t="shared" si="0"/>
        <v>10</v>
      </c>
    </row>
    <row r="12" spans="1:18" x14ac:dyDescent="0.2">
      <c r="A12" t="s">
        <v>255</v>
      </c>
      <c r="B12" t="s">
        <v>97</v>
      </c>
      <c r="C12">
        <v>75</v>
      </c>
      <c r="D12" t="s">
        <v>97</v>
      </c>
      <c r="E12">
        <v>66</v>
      </c>
      <c r="F12" s="29">
        <f t="shared" si="0"/>
        <v>9</v>
      </c>
    </row>
    <row r="13" spans="1:18" x14ac:dyDescent="0.2">
      <c r="A13" t="s">
        <v>256</v>
      </c>
      <c r="B13" t="s">
        <v>98</v>
      </c>
      <c r="C13">
        <v>75</v>
      </c>
      <c r="D13" t="s">
        <v>98</v>
      </c>
      <c r="E13">
        <v>66</v>
      </c>
      <c r="F13" s="29">
        <f t="shared" si="0"/>
        <v>9</v>
      </c>
    </row>
    <row r="14" spans="1:18" x14ac:dyDescent="0.2">
      <c r="A14" t="s">
        <v>257</v>
      </c>
      <c r="B14" t="s">
        <v>128</v>
      </c>
      <c r="C14">
        <v>75</v>
      </c>
      <c r="D14" t="s">
        <v>128</v>
      </c>
      <c r="E14">
        <v>66</v>
      </c>
      <c r="F14" s="29">
        <f t="shared" si="0"/>
        <v>9</v>
      </c>
    </row>
    <row r="15" spans="1:18" x14ac:dyDescent="0.2">
      <c r="A15" t="s">
        <v>258</v>
      </c>
      <c r="B15" t="s">
        <v>130</v>
      </c>
      <c r="C15">
        <v>75</v>
      </c>
      <c r="D15" t="s">
        <v>130</v>
      </c>
      <c r="E15">
        <v>66</v>
      </c>
      <c r="F15" s="29">
        <f t="shared" si="0"/>
        <v>9</v>
      </c>
    </row>
    <row r="16" spans="1:18" x14ac:dyDescent="0.2">
      <c r="A16" t="s">
        <v>259</v>
      </c>
      <c r="B16" t="s">
        <v>123</v>
      </c>
      <c r="C16">
        <v>78</v>
      </c>
      <c r="D16" t="s">
        <v>123</v>
      </c>
      <c r="E16">
        <v>67</v>
      </c>
      <c r="F16" s="29">
        <f t="shared" si="0"/>
        <v>11</v>
      </c>
    </row>
    <row r="17" spans="1:6" x14ac:dyDescent="0.2">
      <c r="A17" t="s">
        <v>260</v>
      </c>
      <c r="B17" t="s">
        <v>34</v>
      </c>
      <c r="C17">
        <v>77</v>
      </c>
      <c r="D17" t="s">
        <v>34</v>
      </c>
      <c r="E17">
        <v>67</v>
      </c>
      <c r="F17" s="29">
        <f t="shared" si="0"/>
        <v>10</v>
      </c>
    </row>
    <row r="18" spans="1:6" x14ac:dyDescent="0.2">
      <c r="A18" t="s">
        <v>261</v>
      </c>
      <c r="B18" t="s">
        <v>41</v>
      </c>
      <c r="C18">
        <v>78</v>
      </c>
      <c r="D18" t="s">
        <v>41</v>
      </c>
      <c r="E18">
        <v>67</v>
      </c>
      <c r="F18" s="29">
        <f t="shared" si="0"/>
        <v>11</v>
      </c>
    </row>
    <row r="19" spans="1:6" x14ac:dyDescent="0.2">
      <c r="A19" t="s">
        <v>262</v>
      </c>
      <c r="B19" t="s">
        <v>42</v>
      </c>
      <c r="C19">
        <v>76</v>
      </c>
      <c r="D19" t="s">
        <v>42</v>
      </c>
      <c r="E19">
        <v>67</v>
      </c>
      <c r="F19" s="29">
        <f t="shared" si="0"/>
        <v>9</v>
      </c>
    </row>
    <row r="20" spans="1:6" x14ac:dyDescent="0.2">
      <c r="A20" t="s">
        <v>263</v>
      </c>
      <c r="B20" t="s">
        <v>92</v>
      </c>
      <c r="C20">
        <v>78</v>
      </c>
      <c r="D20" t="s">
        <v>92</v>
      </c>
      <c r="E20">
        <v>68</v>
      </c>
      <c r="F20" s="29">
        <f t="shared" si="0"/>
        <v>10</v>
      </c>
    </row>
    <row r="21" spans="1:6" x14ac:dyDescent="0.2">
      <c r="A21" t="s">
        <v>264</v>
      </c>
      <c r="B21" t="s">
        <v>104</v>
      </c>
      <c r="C21">
        <v>78</v>
      </c>
      <c r="D21" t="s">
        <v>104</v>
      </c>
      <c r="E21">
        <v>68</v>
      </c>
      <c r="F21" s="29">
        <f t="shared" si="0"/>
        <v>10</v>
      </c>
    </row>
    <row r="22" spans="1:6" x14ac:dyDescent="0.2">
      <c r="A22" t="s">
        <v>265</v>
      </c>
      <c r="B22" t="s">
        <v>94</v>
      </c>
      <c r="C22">
        <v>78</v>
      </c>
      <c r="D22" t="s">
        <v>94</v>
      </c>
      <c r="E22">
        <v>68</v>
      </c>
      <c r="F22" s="29">
        <f t="shared" si="0"/>
        <v>10</v>
      </c>
    </row>
    <row r="23" spans="1:6" x14ac:dyDescent="0.2">
      <c r="A23" t="s">
        <v>266</v>
      </c>
      <c r="B23" t="s">
        <v>119</v>
      </c>
      <c r="C23">
        <v>79</v>
      </c>
      <c r="D23" t="s">
        <v>119</v>
      </c>
      <c r="E23">
        <v>68</v>
      </c>
      <c r="F23" s="29">
        <f t="shared" si="0"/>
        <v>11</v>
      </c>
    </row>
    <row r="24" spans="1:6" x14ac:dyDescent="0.2">
      <c r="A24" t="s">
        <v>267</v>
      </c>
      <c r="B24" t="s">
        <v>512</v>
      </c>
      <c r="C24">
        <v>78</v>
      </c>
      <c r="D24" t="s">
        <v>512</v>
      </c>
      <c r="E24">
        <v>68</v>
      </c>
      <c r="F24" s="29">
        <f t="shared" si="0"/>
        <v>10</v>
      </c>
    </row>
    <row r="25" spans="1:6" x14ac:dyDescent="0.2">
      <c r="A25" t="s">
        <v>268</v>
      </c>
      <c r="B25" t="s">
        <v>113</v>
      </c>
      <c r="C25">
        <v>79</v>
      </c>
      <c r="D25" t="s">
        <v>113</v>
      </c>
      <c r="E25">
        <v>69</v>
      </c>
      <c r="F25" s="29">
        <f t="shared" si="0"/>
        <v>10</v>
      </c>
    </row>
    <row r="26" spans="1:6" x14ac:dyDescent="0.2">
      <c r="A26" t="s">
        <v>269</v>
      </c>
      <c r="B26" t="s">
        <v>129</v>
      </c>
      <c r="C26">
        <v>78</v>
      </c>
      <c r="D26" t="s">
        <v>129</v>
      </c>
      <c r="E26">
        <v>69</v>
      </c>
      <c r="F26" s="29">
        <f t="shared" si="0"/>
        <v>9</v>
      </c>
    </row>
    <row r="27" spans="1:6" x14ac:dyDescent="0.2">
      <c r="A27" t="s">
        <v>270</v>
      </c>
      <c r="B27" t="s">
        <v>93</v>
      </c>
      <c r="C27">
        <v>80</v>
      </c>
      <c r="D27" t="s">
        <v>93</v>
      </c>
      <c r="E27">
        <v>70</v>
      </c>
      <c r="F27" s="29">
        <f t="shared" si="0"/>
        <v>10</v>
      </c>
    </row>
    <row r="28" spans="1:6" x14ac:dyDescent="0.2">
      <c r="A28" t="s">
        <v>271</v>
      </c>
      <c r="B28" t="s">
        <v>81</v>
      </c>
      <c r="C28">
        <v>81</v>
      </c>
      <c r="D28" t="s">
        <v>81</v>
      </c>
      <c r="E28">
        <v>70</v>
      </c>
      <c r="F28" s="29">
        <f t="shared" si="0"/>
        <v>11</v>
      </c>
    </row>
    <row r="29" spans="1:6" x14ac:dyDescent="0.2">
      <c r="A29" t="s">
        <v>272</v>
      </c>
      <c r="B29" t="s">
        <v>120</v>
      </c>
      <c r="C29">
        <v>80</v>
      </c>
      <c r="D29" t="s">
        <v>120</v>
      </c>
      <c r="E29">
        <v>70</v>
      </c>
      <c r="F29" s="29">
        <f t="shared" si="0"/>
        <v>10</v>
      </c>
    </row>
    <row r="30" spans="1:6" x14ac:dyDescent="0.2">
      <c r="A30" t="s">
        <v>273</v>
      </c>
      <c r="B30" t="s">
        <v>35</v>
      </c>
      <c r="C30">
        <v>80</v>
      </c>
      <c r="D30" t="s">
        <v>35</v>
      </c>
      <c r="E30">
        <v>70</v>
      </c>
      <c r="F30" s="29">
        <f t="shared" si="0"/>
        <v>10</v>
      </c>
    </row>
    <row r="31" spans="1:6" x14ac:dyDescent="0.2">
      <c r="A31" t="s">
        <v>274</v>
      </c>
      <c r="B31" t="s">
        <v>107</v>
      </c>
      <c r="C31">
        <v>81</v>
      </c>
      <c r="D31" t="s">
        <v>107</v>
      </c>
      <c r="E31">
        <v>71</v>
      </c>
      <c r="F31" s="29">
        <f t="shared" si="0"/>
        <v>10</v>
      </c>
    </row>
    <row r="32" spans="1:6" x14ac:dyDescent="0.2">
      <c r="A32" t="s">
        <v>275</v>
      </c>
      <c r="B32" t="s">
        <v>109</v>
      </c>
      <c r="C32">
        <v>81</v>
      </c>
      <c r="D32" t="s">
        <v>109</v>
      </c>
      <c r="E32">
        <v>71</v>
      </c>
      <c r="F32" s="29">
        <f t="shared" si="0"/>
        <v>10</v>
      </c>
    </row>
    <row r="33" spans="1:6" x14ac:dyDescent="0.2">
      <c r="A33" t="s">
        <v>276</v>
      </c>
      <c r="B33" t="s">
        <v>126</v>
      </c>
      <c r="C33">
        <v>81</v>
      </c>
      <c r="D33" t="s">
        <v>126</v>
      </c>
      <c r="E33">
        <v>71</v>
      </c>
      <c r="F33" s="29">
        <f t="shared" si="0"/>
        <v>10</v>
      </c>
    </row>
    <row r="34" spans="1:6" x14ac:dyDescent="0.2">
      <c r="A34" t="s">
        <v>277</v>
      </c>
      <c r="B34" t="s">
        <v>108</v>
      </c>
      <c r="C34">
        <v>82</v>
      </c>
      <c r="D34" t="s">
        <v>108</v>
      </c>
      <c r="E34">
        <v>72</v>
      </c>
      <c r="F34" s="29">
        <f t="shared" si="0"/>
        <v>10</v>
      </c>
    </row>
    <row r="35" spans="1:6" x14ac:dyDescent="0.2">
      <c r="A35" t="s">
        <v>278</v>
      </c>
      <c r="B35" t="s">
        <v>122</v>
      </c>
      <c r="C35">
        <v>83</v>
      </c>
      <c r="D35" t="s">
        <v>122</v>
      </c>
      <c r="E35">
        <v>72</v>
      </c>
      <c r="F35" s="29">
        <f t="shared" si="0"/>
        <v>11</v>
      </c>
    </row>
    <row r="36" spans="1:6" x14ac:dyDescent="0.2">
      <c r="A36" t="s">
        <v>279</v>
      </c>
      <c r="B36" t="s">
        <v>124</v>
      </c>
      <c r="C36">
        <v>83</v>
      </c>
      <c r="D36" t="s">
        <v>124</v>
      </c>
      <c r="E36">
        <v>72</v>
      </c>
      <c r="F36" s="29">
        <f t="shared" si="0"/>
        <v>11</v>
      </c>
    </row>
    <row r="37" spans="1:6" x14ac:dyDescent="0.2">
      <c r="A37" t="s">
        <v>280</v>
      </c>
      <c r="B37" t="s">
        <v>125</v>
      </c>
      <c r="C37">
        <v>84</v>
      </c>
      <c r="D37" t="s">
        <v>125</v>
      </c>
      <c r="E37">
        <v>72</v>
      </c>
      <c r="F37" s="29">
        <f t="shared" si="0"/>
        <v>12</v>
      </c>
    </row>
    <row r="38" spans="1:6" x14ac:dyDescent="0.2">
      <c r="A38" t="s">
        <v>281</v>
      </c>
      <c r="B38" t="s">
        <v>154</v>
      </c>
      <c r="C38">
        <v>83</v>
      </c>
      <c r="D38" t="s">
        <v>154</v>
      </c>
      <c r="E38">
        <v>72</v>
      </c>
      <c r="F38" s="29">
        <f t="shared" si="0"/>
        <v>11</v>
      </c>
    </row>
    <row r="39" spans="1:6" x14ac:dyDescent="0.2">
      <c r="A39" t="s">
        <v>282</v>
      </c>
      <c r="B39" t="s">
        <v>99</v>
      </c>
      <c r="C39">
        <v>83</v>
      </c>
      <c r="D39" t="s">
        <v>99</v>
      </c>
      <c r="E39">
        <v>73</v>
      </c>
      <c r="F39" s="29">
        <f t="shared" si="0"/>
        <v>10</v>
      </c>
    </row>
    <row r="40" spans="1:6" x14ac:dyDescent="0.2">
      <c r="A40" t="s">
        <v>283</v>
      </c>
      <c r="B40" t="s">
        <v>102</v>
      </c>
      <c r="C40">
        <v>83</v>
      </c>
      <c r="D40" t="s">
        <v>102</v>
      </c>
      <c r="E40">
        <v>73</v>
      </c>
      <c r="F40" s="29">
        <f t="shared" si="0"/>
        <v>10</v>
      </c>
    </row>
    <row r="41" spans="1:6" x14ac:dyDescent="0.2">
      <c r="A41" t="s">
        <v>284</v>
      </c>
      <c r="B41" t="s">
        <v>110</v>
      </c>
      <c r="C41">
        <v>84</v>
      </c>
      <c r="D41" t="s">
        <v>110</v>
      </c>
      <c r="E41">
        <v>73</v>
      </c>
      <c r="F41" s="29">
        <f t="shared" si="0"/>
        <v>11</v>
      </c>
    </row>
    <row r="42" spans="1:6" x14ac:dyDescent="0.2">
      <c r="A42" t="s">
        <v>285</v>
      </c>
      <c r="B42" t="s">
        <v>82</v>
      </c>
      <c r="C42">
        <v>83</v>
      </c>
      <c r="D42" t="s">
        <v>82</v>
      </c>
      <c r="E42">
        <v>73</v>
      </c>
      <c r="F42" s="29">
        <f t="shared" si="0"/>
        <v>10</v>
      </c>
    </row>
    <row r="43" spans="1:6" x14ac:dyDescent="0.2">
      <c r="A43" t="s">
        <v>286</v>
      </c>
      <c r="B43" t="s">
        <v>32</v>
      </c>
      <c r="C43">
        <v>83</v>
      </c>
      <c r="D43" t="s">
        <v>32</v>
      </c>
      <c r="E43">
        <v>73</v>
      </c>
      <c r="F43" s="29">
        <f t="shared" si="0"/>
        <v>10</v>
      </c>
    </row>
    <row r="44" spans="1:6" x14ac:dyDescent="0.2">
      <c r="A44" t="s">
        <v>287</v>
      </c>
      <c r="B44" t="s">
        <v>114</v>
      </c>
      <c r="C44">
        <v>84</v>
      </c>
      <c r="D44" t="s">
        <v>114</v>
      </c>
      <c r="E44">
        <v>73</v>
      </c>
      <c r="F44" s="29">
        <f t="shared" si="0"/>
        <v>11</v>
      </c>
    </row>
    <row r="45" spans="1:6" x14ac:dyDescent="0.2">
      <c r="A45" t="s">
        <v>288</v>
      </c>
      <c r="B45" t="s">
        <v>115</v>
      </c>
      <c r="C45">
        <v>83</v>
      </c>
      <c r="D45" t="s">
        <v>115</v>
      </c>
      <c r="E45">
        <v>73</v>
      </c>
      <c r="F45" s="29">
        <f t="shared" si="0"/>
        <v>10</v>
      </c>
    </row>
    <row r="46" spans="1:6" x14ac:dyDescent="0.2">
      <c r="A46" t="s">
        <v>289</v>
      </c>
      <c r="B46" t="s">
        <v>116</v>
      </c>
      <c r="C46">
        <v>84</v>
      </c>
      <c r="D46" t="s">
        <v>116</v>
      </c>
      <c r="E46">
        <v>73</v>
      </c>
      <c r="F46" s="29">
        <f t="shared" si="0"/>
        <v>11</v>
      </c>
    </row>
    <row r="47" spans="1:6" x14ac:dyDescent="0.2">
      <c r="A47" t="s">
        <v>290</v>
      </c>
      <c r="B47" t="s">
        <v>121</v>
      </c>
      <c r="C47">
        <v>84</v>
      </c>
      <c r="D47" t="s">
        <v>121</v>
      </c>
      <c r="E47">
        <v>73</v>
      </c>
      <c r="F47" s="29">
        <f t="shared" si="0"/>
        <v>11</v>
      </c>
    </row>
    <row r="48" spans="1:6" x14ac:dyDescent="0.2">
      <c r="A48" t="s">
        <v>291</v>
      </c>
      <c r="B48" t="s">
        <v>127</v>
      </c>
      <c r="C48">
        <v>84</v>
      </c>
      <c r="D48" t="s">
        <v>127</v>
      </c>
      <c r="E48">
        <v>73</v>
      </c>
      <c r="F48" s="29">
        <f t="shared" si="0"/>
        <v>11</v>
      </c>
    </row>
    <row r="49" spans="1:16" x14ac:dyDescent="0.2">
      <c r="A49" t="s">
        <v>292</v>
      </c>
      <c r="B49" t="s">
        <v>33</v>
      </c>
      <c r="C49">
        <v>84</v>
      </c>
      <c r="D49" t="s">
        <v>33</v>
      </c>
      <c r="E49">
        <v>73</v>
      </c>
      <c r="F49" s="29">
        <f t="shared" si="0"/>
        <v>11</v>
      </c>
    </row>
    <row r="50" spans="1:16" x14ac:dyDescent="0.2">
      <c r="A50" t="s">
        <v>293</v>
      </c>
      <c r="B50" t="s">
        <v>36</v>
      </c>
      <c r="C50">
        <v>83</v>
      </c>
      <c r="D50" t="s">
        <v>36</v>
      </c>
      <c r="E50">
        <v>73</v>
      </c>
      <c r="F50" s="29">
        <f t="shared" si="0"/>
        <v>10</v>
      </c>
    </row>
    <row r="51" spans="1:16" x14ac:dyDescent="0.2">
      <c r="A51" t="s">
        <v>294</v>
      </c>
      <c r="B51" t="s">
        <v>38</v>
      </c>
      <c r="C51">
        <v>84</v>
      </c>
      <c r="D51" t="s">
        <v>38</v>
      </c>
      <c r="E51">
        <v>73</v>
      </c>
      <c r="F51" s="29">
        <f t="shared" si="0"/>
        <v>11</v>
      </c>
    </row>
    <row r="52" spans="1:16" x14ac:dyDescent="0.2">
      <c r="A52" t="s">
        <v>295</v>
      </c>
      <c r="B52" t="s">
        <v>80</v>
      </c>
      <c r="C52">
        <v>86</v>
      </c>
      <c r="D52" t="s">
        <v>80</v>
      </c>
      <c r="E52">
        <v>74</v>
      </c>
      <c r="F52" s="29">
        <f t="shared" si="0"/>
        <v>12</v>
      </c>
    </row>
    <row r="53" spans="1:16" x14ac:dyDescent="0.2">
      <c r="A53" t="s">
        <v>296</v>
      </c>
      <c r="B53" t="s">
        <v>111</v>
      </c>
      <c r="C53">
        <v>85</v>
      </c>
      <c r="D53" t="s">
        <v>111</v>
      </c>
      <c r="E53">
        <v>74</v>
      </c>
      <c r="F53" s="29">
        <f t="shared" si="0"/>
        <v>11</v>
      </c>
    </row>
    <row r="54" spans="1:16" x14ac:dyDescent="0.2">
      <c r="A54" t="s">
        <v>297</v>
      </c>
      <c r="B54" t="s">
        <v>117</v>
      </c>
      <c r="C54">
        <v>85</v>
      </c>
      <c r="D54" t="s">
        <v>117</v>
      </c>
      <c r="E54">
        <v>74</v>
      </c>
      <c r="F54" s="29">
        <f t="shared" si="0"/>
        <v>11</v>
      </c>
    </row>
    <row r="55" spans="1:16" x14ac:dyDescent="0.2">
      <c r="A55" t="s">
        <v>298</v>
      </c>
      <c r="B55" t="s">
        <v>39</v>
      </c>
      <c r="C55">
        <v>85</v>
      </c>
      <c r="D55" t="s">
        <v>39</v>
      </c>
      <c r="E55">
        <v>74</v>
      </c>
      <c r="F55" s="29">
        <f t="shared" si="0"/>
        <v>11</v>
      </c>
    </row>
    <row r="56" spans="1:16" x14ac:dyDescent="0.2">
      <c r="A56" t="s">
        <v>299</v>
      </c>
      <c r="B56" t="s">
        <v>23</v>
      </c>
      <c r="C56">
        <v>86</v>
      </c>
      <c r="D56" t="s">
        <v>23</v>
      </c>
      <c r="E56">
        <v>75</v>
      </c>
      <c r="F56" s="29">
        <f t="shared" si="0"/>
        <v>11</v>
      </c>
    </row>
    <row r="57" spans="1:16" x14ac:dyDescent="0.2">
      <c r="A57" t="s">
        <v>300</v>
      </c>
      <c r="B57" t="s">
        <v>37</v>
      </c>
      <c r="C57">
        <v>85</v>
      </c>
      <c r="D57" t="s">
        <v>37</v>
      </c>
      <c r="E57">
        <v>75</v>
      </c>
      <c r="F57" s="29">
        <f t="shared" si="0"/>
        <v>10</v>
      </c>
    </row>
    <row r="58" spans="1:16" x14ac:dyDescent="0.2">
      <c r="A58" t="s">
        <v>301</v>
      </c>
      <c r="B58" t="s">
        <v>106</v>
      </c>
      <c r="C58">
        <v>84</v>
      </c>
      <c r="D58" t="s">
        <v>106</v>
      </c>
      <c r="E58">
        <v>76</v>
      </c>
      <c r="F58" s="29">
        <f t="shared" si="0"/>
        <v>8</v>
      </c>
    </row>
    <row r="60" spans="1:16" ht="15" customHeight="1" x14ac:dyDescent="0.2">
      <c r="A60" t="s">
        <v>523</v>
      </c>
      <c r="I60" s="193" t="s">
        <v>538</v>
      </c>
      <c r="J60" s="194"/>
      <c r="K60" s="194"/>
      <c r="L60" s="194"/>
      <c r="M60" s="194"/>
      <c r="N60" s="194"/>
      <c r="O60" s="194"/>
      <c r="P60" s="195"/>
    </row>
    <row r="61" spans="1:16" s="181" customFormat="1" ht="15" customHeight="1" x14ac:dyDescent="0.2">
      <c r="A61" s="181" t="s">
        <v>612</v>
      </c>
      <c r="I61" s="196"/>
      <c r="J61" s="197"/>
      <c r="K61" s="197"/>
      <c r="L61" s="197"/>
      <c r="M61" s="197"/>
      <c r="N61" s="197"/>
      <c r="O61" s="197"/>
      <c r="P61" s="198"/>
    </row>
    <row r="62" spans="1:16" x14ac:dyDescent="0.2">
      <c r="A62" t="s">
        <v>554</v>
      </c>
      <c r="I62" s="196"/>
      <c r="J62" s="197"/>
      <c r="K62" s="197"/>
      <c r="L62" s="197"/>
      <c r="M62" s="197"/>
      <c r="N62" s="197"/>
      <c r="O62" s="197"/>
      <c r="P62" s="198"/>
    </row>
    <row r="63" spans="1:16" x14ac:dyDescent="0.2">
      <c r="A63" s="23" t="s">
        <v>536</v>
      </c>
      <c r="I63" s="196"/>
      <c r="J63" s="197"/>
      <c r="K63" s="197"/>
      <c r="L63" s="197"/>
      <c r="M63" s="197"/>
      <c r="N63" s="197"/>
      <c r="O63" s="197"/>
      <c r="P63" s="198"/>
    </row>
    <row r="64" spans="1:16" x14ac:dyDescent="0.2">
      <c r="A64" t="s">
        <v>537</v>
      </c>
      <c r="I64" s="196"/>
      <c r="J64" s="197"/>
      <c r="K64" s="197"/>
      <c r="L64" s="197"/>
      <c r="M64" s="197"/>
      <c r="N64" s="197"/>
      <c r="O64" s="197"/>
      <c r="P64" s="198"/>
    </row>
    <row r="65" spans="1:16" x14ac:dyDescent="0.2">
      <c r="A65" t="s">
        <v>539</v>
      </c>
      <c r="I65" s="196"/>
      <c r="J65" s="197"/>
      <c r="K65" s="197"/>
      <c r="L65" s="197"/>
      <c r="M65" s="197"/>
      <c r="N65" s="197"/>
      <c r="O65" s="197"/>
      <c r="P65" s="198"/>
    </row>
    <row r="66" spans="1:16" x14ac:dyDescent="0.2">
      <c r="I66" s="196"/>
      <c r="J66" s="197"/>
      <c r="K66" s="197"/>
      <c r="L66" s="197"/>
      <c r="M66" s="197"/>
      <c r="N66" s="197"/>
      <c r="O66" s="197"/>
      <c r="P66" s="198"/>
    </row>
    <row r="67" spans="1:16" x14ac:dyDescent="0.2">
      <c r="I67" s="196"/>
      <c r="J67" s="197"/>
      <c r="K67" s="197"/>
      <c r="L67" s="197"/>
      <c r="M67" s="197"/>
      <c r="N67" s="197"/>
      <c r="O67" s="197"/>
      <c r="P67" s="198"/>
    </row>
    <row r="68" spans="1:16" x14ac:dyDescent="0.2">
      <c r="I68" s="196"/>
      <c r="J68" s="197"/>
      <c r="K68" s="197"/>
      <c r="L68" s="197"/>
      <c r="M68" s="197"/>
      <c r="N68" s="197"/>
      <c r="O68" s="197"/>
      <c r="P68" s="198"/>
    </row>
    <row r="69" spans="1:16" x14ac:dyDescent="0.2">
      <c r="I69" s="196"/>
      <c r="J69" s="197"/>
      <c r="K69" s="197"/>
      <c r="L69" s="197"/>
      <c r="M69" s="197"/>
      <c r="N69" s="197"/>
      <c r="O69" s="197"/>
      <c r="P69" s="198"/>
    </row>
    <row r="70" spans="1:16" x14ac:dyDescent="0.2">
      <c r="I70" s="196"/>
      <c r="J70" s="197"/>
      <c r="K70" s="197"/>
      <c r="L70" s="197"/>
      <c r="M70" s="197"/>
      <c r="N70" s="197"/>
      <c r="O70" s="197"/>
      <c r="P70" s="198"/>
    </row>
    <row r="71" spans="1:16" x14ac:dyDescent="0.2">
      <c r="I71" s="196"/>
      <c r="J71" s="197"/>
      <c r="K71" s="197"/>
      <c r="L71" s="197"/>
      <c r="M71" s="197"/>
      <c r="N71" s="197"/>
      <c r="O71" s="197"/>
      <c r="P71" s="198"/>
    </row>
    <row r="72" spans="1:16" x14ac:dyDescent="0.2">
      <c r="I72" s="196"/>
      <c r="J72" s="197"/>
      <c r="K72" s="197"/>
      <c r="L72" s="197"/>
      <c r="M72" s="197"/>
      <c r="N72" s="197"/>
      <c r="O72" s="197"/>
      <c r="P72" s="198"/>
    </row>
    <row r="73" spans="1:16" x14ac:dyDescent="0.2">
      <c r="I73" s="196"/>
      <c r="J73" s="197"/>
      <c r="K73" s="197"/>
      <c r="L73" s="197"/>
      <c r="M73" s="197"/>
      <c r="N73" s="197"/>
      <c r="O73" s="197"/>
      <c r="P73" s="198"/>
    </row>
    <row r="74" spans="1:16" x14ac:dyDescent="0.2">
      <c r="I74" s="196"/>
      <c r="J74" s="197"/>
      <c r="K74" s="197"/>
      <c r="L74" s="197"/>
      <c r="M74" s="197"/>
      <c r="N74" s="197"/>
      <c r="O74" s="197"/>
      <c r="P74" s="198"/>
    </row>
    <row r="75" spans="1:16" x14ac:dyDescent="0.2">
      <c r="I75" s="196"/>
      <c r="J75" s="197"/>
      <c r="K75" s="197"/>
      <c r="L75" s="197"/>
      <c r="M75" s="197"/>
      <c r="N75" s="197"/>
      <c r="O75" s="197"/>
      <c r="P75" s="198"/>
    </row>
    <row r="76" spans="1:16" x14ac:dyDescent="0.2">
      <c r="I76" s="196"/>
      <c r="J76" s="197"/>
      <c r="K76" s="197"/>
      <c r="L76" s="197"/>
      <c r="M76" s="197"/>
      <c r="N76" s="197"/>
      <c r="O76" s="197"/>
      <c r="P76" s="198"/>
    </row>
    <row r="77" spans="1:16" x14ac:dyDescent="0.2">
      <c r="I77" s="199"/>
      <c r="J77" s="200"/>
      <c r="K77" s="200"/>
      <c r="L77" s="200"/>
      <c r="M77" s="200"/>
      <c r="N77" s="200"/>
      <c r="O77" s="200"/>
      <c r="P77" s="201"/>
    </row>
  </sheetData>
  <mergeCells count="2">
    <mergeCell ref="I60:P77"/>
    <mergeCell ref="J2:R3"/>
  </mergeCells>
  <phoneticPr fontId="7" type="noConversion"/>
  <hyperlinks>
    <hyperlink ref="A63" r:id="rId1"/>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
  <sheetViews>
    <sheetView topLeftCell="A14" zoomScale="70" zoomScaleNormal="70" zoomScalePageLayoutView="70" workbookViewId="0">
      <selection activeCell="C60" sqref="C60"/>
    </sheetView>
  </sheetViews>
  <sheetFormatPr baseColWidth="10" defaultColWidth="9.1640625" defaultRowHeight="15" x14ac:dyDescent="0.2"/>
  <cols>
    <col min="1" max="1" width="9.1640625" style="157"/>
    <col min="2" max="2" width="11.1640625" style="157" customWidth="1"/>
    <col min="3" max="3" width="14.6640625" style="157" customWidth="1"/>
    <col min="4" max="16384" width="9.1640625" style="157"/>
  </cols>
  <sheetData>
    <row r="1" spans="1:3" ht="24" x14ac:dyDescent="0.3">
      <c r="A1" s="172" t="s">
        <v>214</v>
      </c>
    </row>
    <row r="2" spans="1:3" x14ac:dyDescent="0.2">
      <c r="A2" s="173" t="s">
        <v>534</v>
      </c>
    </row>
    <row r="3" spans="1:3" ht="30" x14ac:dyDescent="0.2">
      <c r="A3" s="159" t="s">
        <v>88</v>
      </c>
      <c r="B3" s="160" t="s">
        <v>215</v>
      </c>
      <c r="C3" s="160" t="s">
        <v>216</v>
      </c>
    </row>
    <row r="4" spans="1:3" x14ac:dyDescent="0.2">
      <c r="A4" s="161" t="s">
        <v>40</v>
      </c>
      <c r="B4" s="174">
        <v>1939.3693629048298</v>
      </c>
      <c r="C4" s="175">
        <v>70.813999999999993</v>
      </c>
    </row>
    <row r="5" spans="1:3" x14ac:dyDescent="0.2">
      <c r="A5" s="161" t="s">
        <v>22</v>
      </c>
      <c r="B5" s="174">
        <v>2228.2121471726409</v>
      </c>
      <c r="C5" s="175">
        <v>71.873999999999995</v>
      </c>
    </row>
    <row r="6" spans="1:3" x14ac:dyDescent="0.2">
      <c r="A6" s="161" t="s">
        <v>128</v>
      </c>
      <c r="B6" s="174">
        <v>4196.1463086921631</v>
      </c>
      <c r="C6" s="175">
        <v>72.822000000000003</v>
      </c>
    </row>
    <row r="7" spans="1:3" x14ac:dyDescent="0.2">
      <c r="A7" s="161" t="s">
        <v>155</v>
      </c>
      <c r="B7" s="174">
        <v>3579.2086623981577</v>
      </c>
      <c r="C7" s="175">
        <v>71.668000000000006</v>
      </c>
    </row>
    <row r="8" spans="1:3" x14ac:dyDescent="0.2">
      <c r="A8" s="161" t="s">
        <v>94</v>
      </c>
      <c r="B8" s="174">
        <v>4231.4086389233244</v>
      </c>
      <c r="C8" s="175">
        <v>77.796000000000006</v>
      </c>
    </row>
    <row r="9" spans="1:3" x14ac:dyDescent="0.2">
      <c r="A9" s="161" t="s">
        <v>98</v>
      </c>
      <c r="B9" s="174">
        <v>5485.7539127607788</v>
      </c>
      <c r="C9" s="175">
        <v>77.974000000000004</v>
      </c>
    </row>
    <row r="10" spans="1:3" x14ac:dyDescent="0.2">
      <c r="A10" s="161" t="s">
        <v>42</v>
      </c>
      <c r="B10" s="174">
        <v>6450.0094217906044</v>
      </c>
      <c r="C10" s="175">
        <v>74.367999999999995</v>
      </c>
    </row>
    <row r="11" spans="1:3" x14ac:dyDescent="0.2">
      <c r="A11" s="161" t="s">
        <v>93</v>
      </c>
      <c r="B11" s="174">
        <v>6380.7897649158613</v>
      </c>
      <c r="C11" s="175">
        <v>78.888000000000005</v>
      </c>
    </row>
    <row r="12" spans="1:3" x14ac:dyDescent="0.2">
      <c r="A12" s="161" t="s">
        <v>97</v>
      </c>
      <c r="B12" s="174">
        <v>6703.9132684606584</v>
      </c>
      <c r="C12" s="175">
        <v>80.614000000000004</v>
      </c>
    </row>
    <row r="13" spans="1:3" x14ac:dyDescent="0.2">
      <c r="A13" s="161" t="s">
        <v>512</v>
      </c>
      <c r="B13" s="174">
        <v>7912.8306923555638</v>
      </c>
      <c r="C13" s="175">
        <v>77.539000000000001</v>
      </c>
    </row>
    <row r="14" spans="1:3" x14ac:dyDescent="0.2">
      <c r="A14" s="161" t="s">
        <v>83</v>
      </c>
      <c r="B14" s="174">
        <v>7713.887291395401</v>
      </c>
      <c r="C14" s="175">
        <v>69.763999999999996</v>
      </c>
    </row>
    <row r="15" spans="1:3" x14ac:dyDescent="0.2">
      <c r="A15" s="161" t="s">
        <v>104</v>
      </c>
      <c r="B15" s="174">
        <v>12538.539656190005</v>
      </c>
      <c r="C15" s="175">
        <v>77.260999999999996</v>
      </c>
    </row>
    <row r="16" spans="1:3" x14ac:dyDescent="0.2">
      <c r="A16" s="161" t="s">
        <v>100</v>
      </c>
      <c r="B16" s="174">
        <v>10968.37902053214</v>
      </c>
      <c r="C16" s="175">
        <v>73.900000000000006</v>
      </c>
    </row>
    <row r="17" spans="1:3" x14ac:dyDescent="0.2">
      <c r="A17" s="161" t="s">
        <v>92</v>
      </c>
      <c r="B17" s="174">
        <v>12655.48101060294</v>
      </c>
      <c r="C17" s="175">
        <v>75.816999999999993</v>
      </c>
    </row>
    <row r="18" spans="1:3" x14ac:dyDescent="0.2">
      <c r="A18" s="161" t="s">
        <v>129</v>
      </c>
      <c r="B18" s="174">
        <v>12005.391234629175</v>
      </c>
      <c r="C18" s="175">
        <v>77.492999999999995</v>
      </c>
    </row>
    <row r="19" spans="1:3" x14ac:dyDescent="0.2">
      <c r="A19" s="161" t="s">
        <v>41</v>
      </c>
      <c r="B19" s="174">
        <v>8812.7433233695119</v>
      </c>
      <c r="C19" s="175">
        <v>78.685000000000002</v>
      </c>
    </row>
    <row r="20" spans="1:3" x14ac:dyDescent="0.2">
      <c r="A20" s="161" t="s">
        <v>81</v>
      </c>
      <c r="B20" s="174">
        <v>15777.49760082403</v>
      </c>
      <c r="C20" s="175">
        <v>80.366</v>
      </c>
    </row>
    <row r="21" spans="1:3" x14ac:dyDescent="0.2">
      <c r="A21" s="161" t="s">
        <v>119</v>
      </c>
      <c r="B21" s="174">
        <v>18624.333544431978</v>
      </c>
      <c r="C21" s="175">
        <v>77.510000000000005</v>
      </c>
    </row>
    <row r="22" spans="1:3" x14ac:dyDescent="0.2">
      <c r="A22" s="161" t="s">
        <v>118</v>
      </c>
      <c r="B22" s="174">
        <v>14369.382876304244</v>
      </c>
      <c r="C22" s="175">
        <v>72.343000000000004</v>
      </c>
    </row>
    <row r="23" spans="1:3" x14ac:dyDescent="0.2">
      <c r="A23" s="161" t="s">
        <v>126</v>
      </c>
      <c r="B23" s="174">
        <v>16462.34482633452</v>
      </c>
      <c r="C23" s="175">
        <v>80.539000000000001</v>
      </c>
    </row>
    <row r="24" spans="1:3" x14ac:dyDescent="0.2">
      <c r="A24" s="161" t="s">
        <v>113</v>
      </c>
      <c r="B24" s="174">
        <v>17233.000951174799</v>
      </c>
      <c r="C24" s="175">
        <v>78.619</v>
      </c>
    </row>
    <row r="25" spans="1:3" x14ac:dyDescent="0.2">
      <c r="A25" s="161" t="s">
        <v>130</v>
      </c>
      <c r="B25" s="174">
        <v>18228.075680253172</v>
      </c>
      <c r="C25" s="175">
        <v>74.427999999999997</v>
      </c>
    </row>
    <row r="26" spans="1:3" x14ac:dyDescent="0.2">
      <c r="A26" s="161" t="s">
        <v>120</v>
      </c>
      <c r="B26" s="174">
        <v>19587.698955616681</v>
      </c>
      <c r="C26" s="175">
        <v>78.156000000000006</v>
      </c>
    </row>
    <row r="27" spans="1:3" x14ac:dyDescent="0.2">
      <c r="A27" s="161" t="s">
        <v>109</v>
      </c>
      <c r="B27" s="174">
        <v>19409.70042051945</v>
      </c>
      <c r="C27" s="175">
        <v>79.644000000000005</v>
      </c>
    </row>
    <row r="28" spans="1:3" x14ac:dyDescent="0.2">
      <c r="A28" s="161" t="s">
        <v>127</v>
      </c>
      <c r="B28" s="174">
        <v>17846.052239048349</v>
      </c>
      <c r="C28" s="175">
        <v>82.876999999999995</v>
      </c>
    </row>
    <row r="29" spans="1:3" x14ac:dyDescent="0.2">
      <c r="A29" s="161" t="s">
        <v>32</v>
      </c>
      <c r="B29" s="174">
        <v>17790.915814619882</v>
      </c>
      <c r="C29" s="175">
        <v>83.081999999999994</v>
      </c>
    </row>
    <row r="30" spans="1:3" x14ac:dyDescent="0.2">
      <c r="A30" s="161" t="s">
        <v>35</v>
      </c>
      <c r="B30" s="174">
        <v>19450.418082726846</v>
      </c>
      <c r="C30" s="175">
        <v>79.215000000000003</v>
      </c>
    </row>
    <row r="31" spans="1:3" x14ac:dyDescent="0.2">
      <c r="A31" s="161" t="s">
        <v>107</v>
      </c>
      <c r="B31" s="174">
        <v>16233.249156850869</v>
      </c>
      <c r="C31" s="175">
        <v>80.727000000000004</v>
      </c>
    </row>
    <row r="32" spans="1:3" x14ac:dyDescent="0.2">
      <c r="A32" s="161" t="s">
        <v>36</v>
      </c>
      <c r="B32" s="174">
        <v>21762.495362494603</v>
      </c>
      <c r="C32" s="175">
        <v>82.828000000000003</v>
      </c>
    </row>
    <row r="33" spans="1:3" x14ac:dyDescent="0.2">
      <c r="A33" s="161" t="s">
        <v>122</v>
      </c>
      <c r="B33" s="174">
        <v>18832.338369056488</v>
      </c>
      <c r="C33" s="175">
        <v>82.040999999999997</v>
      </c>
    </row>
    <row r="34" spans="1:3" x14ac:dyDescent="0.2">
      <c r="A34" s="161" t="s">
        <v>106</v>
      </c>
      <c r="B34" s="174">
        <v>19787.323376036911</v>
      </c>
      <c r="C34" s="175">
        <v>81.849000000000004</v>
      </c>
    </row>
    <row r="35" spans="1:3" x14ac:dyDescent="0.2">
      <c r="A35" s="161" t="s">
        <v>116</v>
      </c>
      <c r="B35" s="174">
        <v>24636.442072682614</v>
      </c>
      <c r="C35" s="175">
        <v>83.557000000000002</v>
      </c>
    </row>
    <row r="36" spans="1:3" x14ac:dyDescent="0.2">
      <c r="A36" s="161" t="s">
        <v>37</v>
      </c>
      <c r="B36" s="174">
        <v>23487.2776323287</v>
      </c>
      <c r="C36" s="175">
        <v>85.335999999999999</v>
      </c>
    </row>
    <row r="37" spans="1:3" x14ac:dyDescent="0.2">
      <c r="A37" s="161" t="s">
        <v>117</v>
      </c>
      <c r="B37" s="174">
        <v>22302.913915043377</v>
      </c>
      <c r="C37" s="175">
        <v>84.977999999999994</v>
      </c>
    </row>
    <row r="38" spans="1:3" x14ac:dyDescent="0.2">
      <c r="A38" s="161" t="s">
        <v>95</v>
      </c>
      <c r="B38" s="174">
        <v>27588.643938292407</v>
      </c>
      <c r="C38" s="175">
        <v>82.471000000000004</v>
      </c>
    </row>
    <row r="39" spans="1:3" x14ac:dyDescent="0.2">
      <c r="A39" s="161" t="s">
        <v>111</v>
      </c>
      <c r="B39" s="174">
        <v>29580.160423458106</v>
      </c>
      <c r="C39" s="175">
        <v>85.198999999999998</v>
      </c>
    </row>
    <row r="40" spans="1:3" x14ac:dyDescent="0.2">
      <c r="A40" s="161" t="s">
        <v>110</v>
      </c>
      <c r="B40" s="174">
        <v>32122.638027225206</v>
      </c>
      <c r="C40" s="175">
        <v>83.691000000000003</v>
      </c>
    </row>
    <row r="41" spans="1:3" x14ac:dyDescent="0.2">
      <c r="A41" s="161" t="s">
        <v>114</v>
      </c>
      <c r="B41" s="174">
        <v>27612.169389698953</v>
      </c>
      <c r="C41" s="175">
        <v>83.87</v>
      </c>
    </row>
    <row r="42" spans="1:3" x14ac:dyDescent="0.2">
      <c r="A42" s="161" t="s">
        <v>102</v>
      </c>
      <c r="B42" s="174">
        <v>30213.119614665356</v>
      </c>
      <c r="C42" s="175">
        <v>83.063000000000002</v>
      </c>
    </row>
    <row r="43" spans="1:3" x14ac:dyDescent="0.2">
      <c r="A43" s="161" t="s">
        <v>108</v>
      </c>
      <c r="B43" s="174">
        <v>37105.937025169696</v>
      </c>
      <c r="C43" s="175">
        <v>81.513000000000005</v>
      </c>
    </row>
    <row r="44" spans="1:3" x14ac:dyDescent="0.2">
      <c r="A44" s="161" t="s">
        <v>38</v>
      </c>
      <c r="B44" s="174">
        <v>38070.539332084998</v>
      </c>
      <c r="C44" s="175">
        <v>83.863</v>
      </c>
    </row>
    <row r="45" spans="1:3" x14ac:dyDescent="0.2">
      <c r="A45" s="161" t="s">
        <v>82</v>
      </c>
      <c r="B45" s="174">
        <v>33027.907821558991</v>
      </c>
      <c r="C45" s="175">
        <v>83.141000000000005</v>
      </c>
    </row>
    <row r="46" spans="1:3" x14ac:dyDescent="0.2">
      <c r="A46" s="161" t="s">
        <v>124</v>
      </c>
      <c r="B46" s="174">
        <v>34496.922521907203</v>
      </c>
      <c r="C46" s="175">
        <v>82.914000000000001</v>
      </c>
    </row>
    <row r="47" spans="1:3" x14ac:dyDescent="0.2">
      <c r="A47" s="161" t="s">
        <v>115</v>
      </c>
      <c r="B47" s="174">
        <v>23871.618749907757</v>
      </c>
      <c r="C47" s="175">
        <v>82.85</v>
      </c>
    </row>
    <row r="48" spans="1:3" x14ac:dyDescent="0.2">
      <c r="A48" s="161" t="s">
        <v>99</v>
      </c>
      <c r="B48" s="174">
        <v>25169.508076743467</v>
      </c>
      <c r="C48" s="175">
        <v>83.608999999999995</v>
      </c>
    </row>
    <row r="49" spans="1:3" x14ac:dyDescent="0.2">
      <c r="A49" s="161" t="s">
        <v>39</v>
      </c>
      <c r="B49" s="174">
        <v>42561.100446336131</v>
      </c>
      <c r="C49" s="175">
        <v>84.933999999999997</v>
      </c>
    </row>
    <row r="50" spans="1:3" x14ac:dyDescent="0.2">
      <c r="A50" s="161" t="s">
        <v>125</v>
      </c>
      <c r="B50" s="174">
        <v>56993.883005359807</v>
      </c>
      <c r="C50" s="175">
        <v>83.587999999999994</v>
      </c>
    </row>
    <row r="51" spans="1:3" x14ac:dyDescent="0.2">
      <c r="A51" s="161" t="s">
        <v>121</v>
      </c>
      <c r="B51" s="174">
        <v>41351.293179003856</v>
      </c>
      <c r="C51" s="175">
        <v>83.028999999999996</v>
      </c>
    </row>
    <row r="53" spans="1:3" x14ac:dyDescent="0.2">
      <c r="A53" s="157" t="s">
        <v>535</v>
      </c>
    </row>
    <row r="54" spans="1:3" x14ac:dyDescent="0.2">
      <c r="A54" s="161" t="s">
        <v>555</v>
      </c>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8"/>
  <sheetViews>
    <sheetView workbookViewId="0">
      <selection activeCell="A53" sqref="A53:XFD53"/>
    </sheetView>
  </sheetViews>
  <sheetFormatPr baseColWidth="10" defaultColWidth="9.1640625" defaultRowHeight="15" x14ac:dyDescent="0.2"/>
  <cols>
    <col min="1" max="16384" width="9.1640625" style="134"/>
  </cols>
  <sheetData>
    <row r="1" spans="1:3" ht="45" x14ac:dyDescent="0.2">
      <c r="A1" s="159" t="s">
        <v>88</v>
      </c>
      <c r="B1" s="160" t="s">
        <v>215</v>
      </c>
      <c r="C1" s="160" t="s">
        <v>216</v>
      </c>
    </row>
    <row r="2" spans="1:3" x14ac:dyDescent="0.2">
      <c r="A2" s="161" t="s">
        <v>40</v>
      </c>
      <c r="B2" s="162">
        <v>1939.3693629048298</v>
      </c>
      <c r="C2" s="163">
        <v>70.813999999999993</v>
      </c>
    </row>
    <row r="3" spans="1:3" x14ac:dyDescent="0.2">
      <c r="A3" s="161" t="s">
        <v>22</v>
      </c>
      <c r="B3" s="162">
        <v>2228.2121471726409</v>
      </c>
      <c r="C3" s="163">
        <v>71.873999999999995</v>
      </c>
    </row>
    <row r="4" spans="1:3" x14ac:dyDescent="0.2">
      <c r="A4" s="161" t="s">
        <v>540</v>
      </c>
      <c r="B4" s="162">
        <v>4196.1463086921631</v>
      </c>
      <c r="C4" s="163">
        <v>72.822000000000003</v>
      </c>
    </row>
    <row r="5" spans="1:3" x14ac:dyDescent="0.2">
      <c r="A5" s="161" t="s">
        <v>155</v>
      </c>
      <c r="B5" s="162">
        <v>3579.2086623981577</v>
      </c>
      <c r="C5" s="163">
        <v>71.668000000000006</v>
      </c>
    </row>
    <row r="6" spans="1:3" x14ac:dyDescent="0.2">
      <c r="A6" s="161" t="s">
        <v>94</v>
      </c>
      <c r="B6" s="162">
        <v>4231.4086389233244</v>
      </c>
      <c r="C6" s="163">
        <v>77.796000000000006</v>
      </c>
    </row>
    <row r="7" spans="1:3" x14ac:dyDescent="0.2">
      <c r="A7" s="161" t="s">
        <v>98</v>
      </c>
      <c r="B7" s="162">
        <v>5485.7539127607788</v>
      </c>
      <c r="C7" s="163">
        <v>77.974000000000004</v>
      </c>
    </row>
    <row r="8" spans="1:3" x14ac:dyDescent="0.2">
      <c r="A8" s="161" t="s">
        <v>42</v>
      </c>
      <c r="B8" s="162">
        <v>6450.0094217906044</v>
      </c>
      <c r="C8" s="163">
        <v>74.367999999999995</v>
      </c>
    </row>
    <row r="9" spans="1:3" x14ac:dyDescent="0.2">
      <c r="A9" s="161" t="s">
        <v>93</v>
      </c>
      <c r="B9" s="162">
        <v>6380.7897649158613</v>
      </c>
      <c r="C9" s="163">
        <v>78.888000000000005</v>
      </c>
    </row>
    <row r="10" spans="1:3" x14ac:dyDescent="0.2">
      <c r="A10" s="161" t="s">
        <v>97</v>
      </c>
      <c r="B10" s="162">
        <v>6703.9132684606584</v>
      </c>
      <c r="C10" s="163">
        <v>80.614000000000004</v>
      </c>
    </row>
    <row r="11" spans="1:3" x14ac:dyDescent="0.2">
      <c r="A11" s="161" t="s">
        <v>512</v>
      </c>
      <c r="B11" s="162">
        <v>7912.8306923555638</v>
      </c>
      <c r="C11" s="163">
        <v>77.539000000000001</v>
      </c>
    </row>
    <row r="12" spans="1:3" x14ac:dyDescent="0.2">
      <c r="A12" s="161" t="s">
        <v>83</v>
      </c>
      <c r="B12" s="162">
        <v>7713.887291395401</v>
      </c>
      <c r="C12" s="163">
        <v>69.763999999999996</v>
      </c>
    </row>
    <row r="13" spans="1:3" x14ac:dyDescent="0.2">
      <c r="A13" s="161" t="s">
        <v>104</v>
      </c>
      <c r="B13" s="162">
        <v>12538.539656190005</v>
      </c>
      <c r="C13" s="163">
        <v>77.260999999999996</v>
      </c>
    </row>
    <row r="14" spans="1:3" x14ac:dyDescent="0.2">
      <c r="A14" s="161" t="s">
        <v>100</v>
      </c>
      <c r="B14" s="162">
        <v>10968.37902053214</v>
      </c>
      <c r="C14" s="163">
        <v>73.900000000000006</v>
      </c>
    </row>
    <row r="15" spans="1:3" x14ac:dyDescent="0.2">
      <c r="A15" s="161" t="s">
        <v>92</v>
      </c>
      <c r="B15" s="162">
        <v>12655.48101060294</v>
      </c>
      <c r="C15" s="163">
        <v>75.816999999999993</v>
      </c>
    </row>
    <row r="16" spans="1:3" x14ac:dyDescent="0.2">
      <c r="A16" s="161" t="s">
        <v>129</v>
      </c>
      <c r="B16" s="162">
        <v>12005.391234629175</v>
      </c>
      <c r="C16" s="163">
        <v>77.492999999999995</v>
      </c>
    </row>
    <row r="17" spans="1:3" x14ac:dyDescent="0.2">
      <c r="A17" s="161" t="s">
        <v>41</v>
      </c>
      <c r="B17" s="162">
        <v>8812.7433233695119</v>
      </c>
      <c r="C17" s="163">
        <v>78.685000000000002</v>
      </c>
    </row>
    <row r="18" spans="1:3" x14ac:dyDescent="0.2">
      <c r="A18" s="161" t="s">
        <v>81</v>
      </c>
      <c r="B18" s="162">
        <v>15777.49760082403</v>
      </c>
      <c r="C18" s="163">
        <v>80.366</v>
      </c>
    </row>
    <row r="19" spans="1:3" x14ac:dyDescent="0.2">
      <c r="A19" s="161" t="s">
        <v>119</v>
      </c>
      <c r="B19" s="162">
        <v>18624.333544431978</v>
      </c>
      <c r="C19" s="163">
        <v>77.510000000000005</v>
      </c>
    </row>
    <row r="20" spans="1:3" x14ac:dyDescent="0.2">
      <c r="A20" s="161" t="s">
        <v>118</v>
      </c>
      <c r="B20" s="162">
        <v>14369.382876304244</v>
      </c>
      <c r="C20" s="163">
        <v>72.343000000000004</v>
      </c>
    </row>
    <row r="21" spans="1:3" x14ac:dyDescent="0.2">
      <c r="A21" s="161" t="s">
        <v>126</v>
      </c>
      <c r="B21" s="162">
        <v>16462.34482633452</v>
      </c>
      <c r="C21" s="163">
        <v>80.539000000000001</v>
      </c>
    </row>
    <row r="22" spans="1:3" x14ac:dyDescent="0.2">
      <c r="A22" s="161" t="s">
        <v>113</v>
      </c>
      <c r="B22" s="162">
        <v>17233.000951174799</v>
      </c>
      <c r="C22" s="163">
        <v>78.619</v>
      </c>
    </row>
    <row r="23" spans="1:3" x14ac:dyDescent="0.2">
      <c r="A23" s="161" t="s">
        <v>130</v>
      </c>
      <c r="B23" s="162">
        <v>18228.075680253172</v>
      </c>
      <c r="C23" s="163">
        <v>74.427999999999997</v>
      </c>
    </row>
    <row r="24" spans="1:3" x14ac:dyDescent="0.2">
      <c r="A24" s="161" t="s">
        <v>120</v>
      </c>
      <c r="B24" s="162">
        <v>19587.698955616681</v>
      </c>
      <c r="C24" s="163">
        <v>78.156000000000006</v>
      </c>
    </row>
    <row r="25" spans="1:3" x14ac:dyDescent="0.2">
      <c r="A25" s="161" t="s">
        <v>109</v>
      </c>
      <c r="B25" s="162">
        <v>19409.70042051945</v>
      </c>
      <c r="C25" s="163">
        <v>79.644000000000005</v>
      </c>
    </row>
    <row r="26" spans="1:3" x14ac:dyDescent="0.2">
      <c r="A26" s="161" t="s">
        <v>127</v>
      </c>
      <c r="B26" s="162">
        <v>17846.052239048349</v>
      </c>
      <c r="C26" s="163">
        <v>82.876999999999995</v>
      </c>
    </row>
    <row r="27" spans="1:3" x14ac:dyDescent="0.2">
      <c r="A27" s="161" t="s">
        <v>32</v>
      </c>
      <c r="B27" s="162">
        <v>17790.915814619882</v>
      </c>
      <c r="C27" s="163">
        <v>83.081999999999994</v>
      </c>
    </row>
    <row r="28" spans="1:3" x14ac:dyDescent="0.2">
      <c r="A28" s="161" t="s">
        <v>35</v>
      </c>
      <c r="B28" s="162">
        <v>19450.418082726846</v>
      </c>
      <c r="C28" s="163">
        <v>79.215000000000003</v>
      </c>
    </row>
    <row r="29" spans="1:3" x14ac:dyDescent="0.2">
      <c r="A29" s="161" t="s">
        <v>107</v>
      </c>
      <c r="B29" s="162">
        <v>16233.249156850869</v>
      </c>
      <c r="C29" s="163">
        <v>80.727000000000004</v>
      </c>
    </row>
    <row r="30" spans="1:3" x14ac:dyDescent="0.2">
      <c r="A30" s="161" t="s">
        <v>36</v>
      </c>
      <c r="B30" s="162">
        <v>21762.495362494603</v>
      </c>
      <c r="C30" s="163">
        <v>82.828000000000003</v>
      </c>
    </row>
    <row r="31" spans="1:3" x14ac:dyDescent="0.2">
      <c r="A31" s="161" t="s">
        <v>122</v>
      </c>
      <c r="B31" s="162">
        <v>18832.338369056488</v>
      </c>
      <c r="C31" s="163">
        <v>82.040999999999997</v>
      </c>
    </row>
    <row r="32" spans="1:3" x14ac:dyDescent="0.2">
      <c r="A32" s="161" t="s">
        <v>106</v>
      </c>
      <c r="B32" s="162">
        <v>19787.323376036911</v>
      </c>
      <c r="C32" s="163">
        <v>81.849000000000004</v>
      </c>
    </row>
    <row r="33" spans="1:3" x14ac:dyDescent="0.2">
      <c r="A33" s="161" t="s">
        <v>116</v>
      </c>
      <c r="B33" s="162">
        <v>24636.442072682614</v>
      </c>
      <c r="C33" s="163">
        <v>83.557000000000002</v>
      </c>
    </row>
    <row r="34" spans="1:3" x14ac:dyDescent="0.2">
      <c r="A34" s="161" t="s">
        <v>37</v>
      </c>
      <c r="B34" s="162">
        <v>23487.2776323287</v>
      </c>
      <c r="C34" s="163">
        <v>85.335999999999999</v>
      </c>
    </row>
    <row r="35" spans="1:3" x14ac:dyDescent="0.2">
      <c r="A35" s="161" t="s">
        <v>117</v>
      </c>
      <c r="B35" s="162">
        <v>22302.913915043377</v>
      </c>
      <c r="C35" s="163">
        <v>84.977999999999994</v>
      </c>
    </row>
    <row r="36" spans="1:3" x14ac:dyDescent="0.2">
      <c r="A36" s="161" t="s">
        <v>95</v>
      </c>
      <c r="B36" s="162">
        <v>27588.643938292407</v>
      </c>
      <c r="C36" s="163">
        <v>82.471000000000004</v>
      </c>
    </row>
    <row r="37" spans="1:3" x14ac:dyDescent="0.2">
      <c r="A37" s="161" t="s">
        <v>111</v>
      </c>
      <c r="B37" s="162">
        <v>29580.160423458106</v>
      </c>
      <c r="C37" s="163">
        <v>85.198999999999998</v>
      </c>
    </row>
    <row r="38" spans="1:3" x14ac:dyDescent="0.2">
      <c r="A38" s="161" t="s">
        <v>110</v>
      </c>
      <c r="B38" s="162">
        <v>32122.638027225206</v>
      </c>
      <c r="C38" s="163">
        <v>83.691000000000003</v>
      </c>
    </row>
    <row r="39" spans="1:3" x14ac:dyDescent="0.2">
      <c r="A39" s="161" t="s">
        <v>114</v>
      </c>
      <c r="B39" s="162">
        <v>27612.169389698953</v>
      </c>
      <c r="C39" s="163">
        <v>83.87</v>
      </c>
    </row>
    <row r="40" spans="1:3" x14ac:dyDescent="0.2">
      <c r="A40" s="161" t="s">
        <v>102</v>
      </c>
      <c r="B40" s="162">
        <v>30213.119614665356</v>
      </c>
      <c r="C40" s="163">
        <v>83.063000000000002</v>
      </c>
    </row>
    <row r="41" spans="1:3" x14ac:dyDescent="0.2">
      <c r="A41" s="161" t="s">
        <v>108</v>
      </c>
      <c r="B41" s="162">
        <v>37105.937025169696</v>
      </c>
      <c r="C41" s="163">
        <v>81.513000000000005</v>
      </c>
    </row>
    <row r="42" spans="1:3" x14ac:dyDescent="0.2">
      <c r="A42" s="161" t="s">
        <v>38</v>
      </c>
      <c r="B42" s="162">
        <v>38070.539332084998</v>
      </c>
      <c r="C42" s="163">
        <v>83.863</v>
      </c>
    </row>
    <row r="43" spans="1:3" x14ac:dyDescent="0.2">
      <c r="A43" s="161" t="s">
        <v>82</v>
      </c>
      <c r="B43" s="162">
        <v>33027.907821558991</v>
      </c>
      <c r="C43" s="163">
        <v>83.141000000000005</v>
      </c>
    </row>
    <row r="44" spans="1:3" x14ac:dyDescent="0.2">
      <c r="A44" s="161" t="s">
        <v>124</v>
      </c>
      <c r="B44" s="162">
        <v>34496.922521907203</v>
      </c>
      <c r="C44" s="163">
        <v>82.914000000000001</v>
      </c>
    </row>
    <row r="45" spans="1:3" x14ac:dyDescent="0.2">
      <c r="A45" s="161" t="s">
        <v>115</v>
      </c>
      <c r="B45" s="162">
        <v>23871.618749907757</v>
      </c>
      <c r="C45" s="163">
        <v>82.85</v>
      </c>
    </row>
    <row r="46" spans="1:3" x14ac:dyDescent="0.2">
      <c r="A46" s="161" t="s">
        <v>99</v>
      </c>
      <c r="B46" s="162">
        <v>25169.508076743467</v>
      </c>
      <c r="C46" s="163">
        <v>83.608999999999995</v>
      </c>
    </row>
    <row r="47" spans="1:3" x14ac:dyDescent="0.2">
      <c r="A47" s="161" t="s">
        <v>39</v>
      </c>
      <c r="B47" s="162">
        <v>42561.100446336131</v>
      </c>
      <c r="C47" s="163">
        <v>84.933999999999997</v>
      </c>
    </row>
    <row r="48" spans="1:3" x14ac:dyDescent="0.2">
      <c r="A48" s="161" t="s">
        <v>125</v>
      </c>
      <c r="B48" s="162">
        <v>56993.883005359807</v>
      </c>
      <c r="C48" s="163">
        <v>83.587999999999994</v>
      </c>
    </row>
    <row r="49" spans="1:3" x14ac:dyDescent="0.2">
      <c r="A49" s="161" t="s">
        <v>121</v>
      </c>
      <c r="B49" s="162">
        <v>41351.293179003856</v>
      </c>
      <c r="C49" s="163">
        <v>83.028999999999996</v>
      </c>
    </row>
    <row r="51" spans="1:3" x14ac:dyDescent="0.2">
      <c r="A51" s="134" t="s">
        <v>535</v>
      </c>
    </row>
    <row r="52" spans="1:3" x14ac:dyDescent="0.2">
      <c r="A52" s="33" t="s">
        <v>556</v>
      </c>
    </row>
    <row r="53" spans="1:3" s="181" customFormat="1" x14ac:dyDescent="0.2">
      <c r="A53" s="33"/>
    </row>
    <row r="54" spans="1:3" x14ac:dyDescent="0.2">
      <c r="A54" s="164" t="s">
        <v>208</v>
      </c>
    </row>
    <row r="55" spans="1:3" x14ac:dyDescent="0.2">
      <c r="A55" s="134" t="s">
        <v>537</v>
      </c>
    </row>
    <row r="56" spans="1:3" x14ac:dyDescent="0.2">
      <c r="A56" s="134" t="s">
        <v>255</v>
      </c>
      <c r="B56" s="134" t="s">
        <v>97</v>
      </c>
    </row>
    <row r="57" spans="1:3" x14ac:dyDescent="0.2">
      <c r="A57" s="134" t="s">
        <v>295</v>
      </c>
      <c r="B57" s="134" t="s">
        <v>80</v>
      </c>
    </row>
    <row r="58" spans="1:3" x14ac:dyDescent="0.2">
      <c r="A58" s="134" t="s">
        <v>256</v>
      </c>
      <c r="B58" s="134" t="s">
        <v>98</v>
      </c>
    </row>
    <row r="59" spans="1:3" x14ac:dyDescent="0.2">
      <c r="A59" s="134" t="s">
        <v>282</v>
      </c>
      <c r="B59" s="134" t="s">
        <v>99</v>
      </c>
    </row>
    <row r="60" spans="1:3" x14ac:dyDescent="0.2">
      <c r="A60" s="134" t="s">
        <v>254</v>
      </c>
      <c r="B60" s="134" t="s">
        <v>100</v>
      </c>
    </row>
    <row r="61" spans="1:3" x14ac:dyDescent="0.2">
      <c r="A61" s="134" t="s">
        <v>263</v>
      </c>
      <c r="B61" s="134" t="s">
        <v>92</v>
      </c>
    </row>
    <row r="62" spans="1:3" x14ac:dyDescent="0.2">
      <c r="A62" s="134" t="s">
        <v>283</v>
      </c>
      <c r="B62" s="134" t="s">
        <v>102</v>
      </c>
    </row>
    <row r="63" spans="1:3" x14ac:dyDescent="0.2">
      <c r="A63" s="134" t="s">
        <v>270</v>
      </c>
      <c r="B63" s="134" t="s">
        <v>93</v>
      </c>
    </row>
    <row r="64" spans="1:3" x14ac:dyDescent="0.2">
      <c r="A64" s="134" t="s">
        <v>264</v>
      </c>
      <c r="B64" s="134" t="s">
        <v>104</v>
      </c>
    </row>
    <row r="65" spans="1:2" x14ac:dyDescent="0.2">
      <c r="A65" s="134" t="s">
        <v>271</v>
      </c>
      <c r="B65" s="134" t="s">
        <v>81</v>
      </c>
    </row>
    <row r="66" spans="1:2" x14ac:dyDescent="0.2">
      <c r="A66" s="134" t="s">
        <v>301</v>
      </c>
      <c r="B66" s="134" t="s">
        <v>106</v>
      </c>
    </row>
    <row r="67" spans="1:2" x14ac:dyDescent="0.2">
      <c r="A67" s="134" t="s">
        <v>274</v>
      </c>
      <c r="B67" s="134" t="s">
        <v>107</v>
      </c>
    </row>
    <row r="68" spans="1:2" x14ac:dyDescent="0.2">
      <c r="A68" s="134" t="s">
        <v>277</v>
      </c>
      <c r="B68" s="134" t="s">
        <v>108</v>
      </c>
    </row>
    <row r="69" spans="1:2" x14ac:dyDescent="0.2">
      <c r="A69" s="134" t="s">
        <v>275</v>
      </c>
      <c r="B69" s="134" t="s">
        <v>109</v>
      </c>
    </row>
    <row r="70" spans="1:2" x14ac:dyDescent="0.2">
      <c r="A70" s="134" t="s">
        <v>284</v>
      </c>
      <c r="B70" s="134" t="s">
        <v>110</v>
      </c>
    </row>
    <row r="71" spans="1:2" x14ac:dyDescent="0.2">
      <c r="A71" s="134" t="s">
        <v>296</v>
      </c>
      <c r="B71" s="134" t="s">
        <v>111</v>
      </c>
    </row>
    <row r="72" spans="1:2" x14ac:dyDescent="0.2">
      <c r="A72" s="134" t="s">
        <v>265</v>
      </c>
      <c r="B72" s="134" t="s">
        <v>94</v>
      </c>
    </row>
    <row r="73" spans="1:2" x14ac:dyDescent="0.2">
      <c r="A73" s="134" t="s">
        <v>285</v>
      </c>
      <c r="B73" s="134" t="s">
        <v>82</v>
      </c>
    </row>
    <row r="74" spans="1:2" x14ac:dyDescent="0.2">
      <c r="A74" s="134" t="s">
        <v>286</v>
      </c>
      <c r="B74" s="134" t="s">
        <v>32</v>
      </c>
    </row>
    <row r="75" spans="1:2" x14ac:dyDescent="0.2">
      <c r="A75" s="134" t="s">
        <v>268</v>
      </c>
      <c r="B75" s="134" t="s">
        <v>113</v>
      </c>
    </row>
    <row r="76" spans="1:2" x14ac:dyDescent="0.2">
      <c r="A76" s="134" t="s">
        <v>287</v>
      </c>
      <c r="B76" s="134" t="s">
        <v>114</v>
      </c>
    </row>
    <row r="77" spans="1:2" x14ac:dyDescent="0.2">
      <c r="A77" s="134" t="s">
        <v>288</v>
      </c>
      <c r="B77" s="134" t="s">
        <v>115</v>
      </c>
    </row>
    <row r="78" spans="1:2" x14ac:dyDescent="0.2">
      <c r="A78" s="134" t="s">
        <v>289</v>
      </c>
      <c r="B78" s="134" t="s">
        <v>116</v>
      </c>
    </row>
    <row r="79" spans="1:2" x14ac:dyDescent="0.2">
      <c r="A79" s="134" t="s">
        <v>297</v>
      </c>
      <c r="B79" s="134" t="s">
        <v>117</v>
      </c>
    </row>
    <row r="80" spans="1:2" x14ac:dyDescent="0.2">
      <c r="A80" s="134" t="s">
        <v>253</v>
      </c>
      <c r="B80" s="134" t="s">
        <v>118</v>
      </c>
    </row>
    <row r="81" spans="1:2" x14ac:dyDescent="0.2">
      <c r="A81" s="134" t="s">
        <v>252</v>
      </c>
      <c r="B81" s="134" t="s">
        <v>22</v>
      </c>
    </row>
    <row r="82" spans="1:2" x14ac:dyDescent="0.2">
      <c r="A82" s="134" t="s">
        <v>266</v>
      </c>
      <c r="B82" s="134" t="s">
        <v>119</v>
      </c>
    </row>
    <row r="83" spans="1:2" x14ac:dyDescent="0.2">
      <c r="A83" s="134" t="s">
        <v>272</v>
      </c>
      <c r="B83" s="134" t="s">
        <v>120</v>
      </c>
    </row>
    <row r="84" spans="1:2" x14ac:dyDescent="0.2">
      <c r="A84" s="134" t="s">
        <v>290</v>
      </c>
      <c r="B84" s="134" t="s">
        <v>121</v>
      </c>
    </row>
    <row r="85" spans="1:2" x14ac:dyDescent="0.2">
      <c r="A85" s="134" t="s">
        <v>278</v>
      </c>
      <c r="B85" s="134" t="s">
        <v>122</v>
      </c>
    </row>
    <row r="86" spans="1:2" x14ac:dyDescent="0.2">
      <c r="A86" s="134" t="s">
        <v>299</v>
      </c>
      <c r="B86" s="134" t="s">
        <v>23</v>
      </c>
    </row>
    <row r="87" spans="1:2" x14ac:dyDescent="0.2">
      <c r="A87" s="134" t="s">
        <v>259</v>
      </c>
      <c r="B87" s="134" t="s">
        <v>123</v>
      </c>
    </row>
    <row r="88" spans="1:2" x14ac:dyDescent="0.2">
      <c r="A88" s="134" t="s">
        <v>279</v>
      </c>
      <c r="B88" s="134" t="s">
        <v>124</v>
      </c>
    </row>
    <row r="89" spans="1:2" x14ac:dyDescent="0.2">
      <c r="A89" s="134" t="s">
        <v>280</v>
      </c>
      <c r="B89" s="134" t="s">
        <v>125</v>
      </c>
    </row>
    <row r="90" spans="1:2" x14ac:dyDescent="0.2">
      <c r="A90" s="134" t="s">
        <v>276</v>
      </c>
      <c r="B90" s="134" t="s">
        <v>126</v>
      </c>
    </row>
    <row r="91" spans="1:2" x14ac:dyDescent="0.2">
      <c r="A91" s="134" t="s">
        <v>291</v>
      </c>
      <c r="B91" s="134" t="s">
        <v>127</v>
      </c>
    </row>
    <row r="92" spans="1:2" x14ac:dyDescent="0.2">
      <c r="A92" s="134" t="s">
        <v>257</v>
      </c>
      <c r="B92" s="134" t="s">
        <v>128</v>
      </c>
    </row>
    <row r="93" spans="1:2" x14ac:dyDescent="0.2">
      <c r="A93" s="134" t="s">
        <v>269</v>
      </c>
      <c r="B93" s="134" t="s">
        <v>129</v>
      </c>
    </row>
    <row r="94" spans="1:2" x14ac:dyDescent="0.2">
      <c r="A94" s="134" t="s">
        <v>258</v>
      </c>
      <c r="B94" s="134" t="s">
        <v>130</v>
      </c>
    </row>
    <row r="95" spans="1:2" x14ac:dyDescent="0.2">
      <c r="A95" s="134" t="s">
        <v>292</v>
      </c>
      <c r="B95" s="134" t="s">
        <v>33</v>
      </c>
    </row>
    <row r="96" spans="1:2" x14ac:dyDescent="0.2">
      <c r="A96" s="134" t="s">
        <v>260</v>
      </c>
      <c r="B96" s="134" t="s">
        <v>34</v>
      </c>
    </row>
    <row r="97" spans="1:2" x14ac:dyDescent="0.2">
      <c r="A97" s="134" t="s">
        <v>273</v>
      </c>
      <c r="B97" s="134" t="s">
        <v>35</v>
      </c>
    </row>
    <row r="98" spans="1:2" x14ac:dyDescent="0.2">
      <c r="A98" s="134" t="s">
        <v>293</v>
      </c>
      <c r="B98" s="134" t="s">
        <v>36</v>
      </c>
    </row>
    <row r="99" spans="1:2" x14ac:dyDescent="0.2">
      <c r="A99" s="134" t="s">
        <v>300</v>
      </c>
      <c r="B99" s="134" t="s">
        <v>37</v>
      </c>
    </row>
    <row r="100" spans="1:2" x14ac:dyDescent="0.2">
      <c r="A100" s="134" t="s">
        <v>294</v>
      </c>
      <c r="B100" s="134" t="s">
        <v>38</v>
      </c>
    </row>
    <row r="101" spans="1:2" x14ac:dyDescent="0.2">
      <c r="A101" s="134" t="s">
        <v>298</v>
      </c>
      <c r="B101" s="134" t="s">
        <v>39</v>
      </c>
    </row>
    <row r="102" spans="1:2" x14ac:dyDescent="0.2">
      <c r="A102" s="134" t="s">
        <v>250</v>
      </c>
      <c r="B102" s="134" t="s">
        <v>40</v>
      </c>
    </row>
    <row r="103" spans="1:2" x14ac:dyDescent="0.2">
      <c r="A103" s="134" t="s">
        <v>267</v>
      </c>
      <c r="B103" s="134" t="s">
        <v>76</v>
      </c>
    </row>
    <row r="104" spans="1:2" x14ac:dyDescent="0.2">
      <c r="A104" s="134" t="s">
        <v>261</v>
      </c>
      <c r="B104" s="134" t="s">
        <v>41</v>
      </c>
    </row>
    <row r="105" spans="1:2" x14ac:dyDescent="0.2">
      <c r="A105" s="134" t="s">
        <v>249</v>
      </c>
      <c r="B105" s="134" t="s">
        <v>83</v>
      </c>
    </row>
    <row r="106" spans="1:2" x14ac:dyDescent="0.2">
      <c r="A106" s="134" t="s">
        <v>262</v>
      </c>
      <c r="B106" s="134" t="s">
        <v>42</v>
      </c>
    </row>
    <row r="107" spans="1:2" x14ac:dyDescent="0.2">
      <c r="A107" s="134" t="s">
        <v>281</v>
      </c>
      <c r="B107" s="134" t="s">
        <v>154</v>
      </c>
    </row>
    <row r="108" spans="1:2" x14ac:dyDescent="0.2">
      <c r="A108" s="134" t="s">
        <v>251</v>
      </c>
      <c r="B108" s="134" t="s">
        <v>155</v>
      </c>
    </row>
  </sheetData>
  <phoneticPr fontId="7" type="noConversion"/>
  <hyperlinks>
    <hyperlink ref="A54" r:id="rId1"/>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50"/>
  <sheetViews>
    <sheetView zoomScaleNormal="60" zoomScalePageLayoutView="60" workbookViewId="0">
      <selection activeCell="J162" sqref="J162"/>
    </sheetView>
  </sheetViews>
  <sheetFormatPr baseColWidth="10" defaultColWidth="9.1640625" defaultRowHeight="15" x14ac:dyDescent="0.2"/>
  <sheetData>
    <row r="1" spans="1:26" x14ac:dyDescent="0.2">
      <c r="A1" s="3" t="s">
        <v>516</v>
      </c>
    </row>
    <row r="2" spans="1:26" x14ac:dyDescent="0.2">
      <c r="A2" s="3"/>
    </row>
    <row r="3" spans="1:26" x14ac:dyDescent="0.2">
      <c r="A3" s="3" t="s">
        <v>367</v>
      </c>
    </row>
    <row r="4" spans="1:26" x14ac:dyDescent="0.2">
      <c r="A4" s="39"/>
    </row>
    <row r="5" spans="1:26" x14ac:dyDescent="0.2">
      <c r="A5" s="104" t="s">
        <v>541</v>
      </c>
      <c r="B5" s="105"/>
      <c r="C5" s="106">
        <v>1</v>
      </c>
      <c r="D5" s="106">
        <v>2</v>
      </c>
      <c r="E5" s="106">
        <v>3</v>
      </c>
      <c r="F5" s="106">
        <v>4</v>
      </c>
      <c r="G5" s="106">
        <v>5</v>
      </c>
      <c r="H5" s="106">
        <v>6</v>
      </c>
      <c r="I5" s="106">
        <v>7</v>
      </c>
      <c r="J5" s="106">
        <v>8</v>
      </c>
      <c r="K5" s="106">
        <v>9</v>
      </c>
      <c r="L5" s="106">
        <v>10</v>
      </c>
      <c r="M5" s="107"/>
      <c r="N5" s="104" t="s">
        <v>201</v>
      </c>
      <c r="O5" s="108"/>
      <c r="P5" s="106">
        <v>1</v>
      </c>
      <c r="Q5" s="106">
        <v>2</v>
      </c>
      <c r="R5" s="106">
        <v>3</v>
      </c>
      <c r="S5" s="106">
        <v>4</v>
      </c>
      <c r="T5" s="106">
        <v>5</v>
      </c>
      <c r="U5" s="106">
        <v>6</v>
      </c>
      <c r="V5" s="106">
        <v>7</v>
      </c>
      <c r="W5" s="106">
        <v>8</v>
      </c>
      <c r="X5" s="106">
        <v>9</v>
      </c>
      <c r="Y5" s="106">
        <v>10</v>
      </c>
    </row>
    <row r="6" spans="1:26" x14ac:dyDescent="0.2">
      <c r="A6" s="40"/>
      <c r="B6" s="17"/>
      <c r="C6" s="97" t="s">
        <v>389</v>
      </c>
      <c r="D6" s="98" t="s">
        <v>203</v>
      </c>
      <c r="E6" s="98" t="s">
        <v>390</v>
      </c>
      <c r="F6" s="98" t="s">
        <v>391</v>
      </c>
      <c r="G6" s="98" t="s">
        <v>517</v>
      </c>
      <c r="H6" s="97" t="s">
        <v>392</v>
      </c>
      <c r="I6" s="97" t="s">
        <v>393</v>
      </c>
      <c r="J6" s="98" t="s">
        <v>518</v>
      </c>
      <c r="K6" s="99" t="s">
        <v>519</v>
      </c>
      <c r="L6" s="99" t="s">
        <v>344</v>
      </c>
      <c r="M6" s="96"/>
      <c r="N6" s="40"/>
      <c r="O6" s="17"/>
      <c r="P6" s="97" t="s">
        <v>389</v>
      </c>
      <c r="Q6" s="98" t="s">
        <v>203</v>
      </c>
      <c r="R6" s="98" t="s">
        <v>390</v>
      </c>
      <c r="S6" s="98" t="s">
        <v>391</v>
      </c>
      <c r="T6" s="98" t="s">
        <v>517</v>
      </c>
      <c r="U6" s="97" t="s">
        <v>392</v>
      </c>
      <c r="V6" s="97" t="s">
        <v>393</v>
      </c>
      <c r="W6" s="98" t="s">
        <v>518</v>
      </c>
      <c r="X6" s="99" t="s">
        <v>519</v>
      </c>
      <c r="Y6" s="99" t="s">
        <v>344</v>
      </c>
      <c r="Z6" s="96"/>
    </row>
    <row r="7" spans="1:26" x14ac:dyDescent="0.2">
      <c r="A7" s="44" t="s">
        <v>334</v>
      </c>
      <c r="B7" s="17"/>
      <c r="C7" s="100">
        <v>19.43497869103939</v>
      </c>
      <c r="D7" s="100">
        <v>28.790652934752622</v>
      </c>
      <c r="E7" s="100">
        <v>8.3415751480645692</v>
      </c>
      <c r="F7" s="101">
        <v>27.130201240373346</v>
      </c>
      <c r="G7" s="101">
        <v>5.162686305120455</v>
      </c>
      <c r="H7" s="101">
        <v>3.3158193358057648</v>
      </c>
      <c r="I7" s="101">
        <v>1.9732904194072536</v>
      </c>
      <c r="J7" s="101">
        <v>14.134345082466728</v>
      </c>
      <c r="K7" s="101">
        <v>1.8668642442623073</v>
      </c>
      <c r="L7" s="101">
        <v>0</v>
      </c>
      <c r="M7" s="43"/>
      <c r="N7" s="44" t="s">
        <v>334</v>
      </c>
      <c r="O7" s="17"/>
      <c r="P7" s="100">
        <v>0.21997002442379038</v>
      </c>
      <c r="Q7" s="100">
        <v>0.330463441930964</v>
      </c>
      <c r="R7" s="100">
        <v>9.0835079423075227E-2</v>
      </c>
      <c r="S7" s="101">
        <v>0.31114404071038454</v>
      </c>
      <c r="T7" s="101">
        <v>1.5252158858352185E-2</v>
      </c>
      <c r="U7" s="101">
        <v>3.8638802441158866E-2</v>
      </c>
      <c r="V7" s="101">
        <v>2.2708769855768807E-2</v>
      </c>
      <c r="W7" s="101">
        <v>0</v>
      </c>
      <c r="X7" s="101">
        <v>2.1691959265211995E-2</v>
      </c>
      <c r="Y7" s="101">
        <v>1.728578003946581E-2</v>
      </c>
    </row>
    <row r="8" spans="1:26" x14ac:dyDescent="0.2">
      <c r="A8" s="44" t="s">
        <v>335</v>
      </c>
      <c r="B8" s="17"/>
      <c r="C8" s="100">
        <v>16.780271088619369</v>
      </c>
      <c r="D8" s="100">
        <v>52.030033460488227</v>
      </c>
      <c r="E8" s="100">
        <v>26.832633855449394</v>
      </c>
      <c r="F8" s="101">
        <v>32.187319709440452</v>
      </c>
      <c r="G8" s="101">
        <v>8.4523993333095788</v>
      </c>
      <c r="H8" s="101">
        <v>9.7295268203970409</v>
      </c>
      <c r="I8" s="101">
        <v>3.2283594643298672</v>
      </c>
      <c r="J8" s="101">
        <v>16.269024196860105</v>
      </c>
      <c r="K8" s="101">
        <v>5.522402187366497</v>
      </c>
      <c r="L8" s="101">
        <v>3.3383108373903769</v>
      </c>
      <c r="M8" s="43"/>
      <c r="N8" s="44" t="s">
        <v>335</v>
      </c>
      <c r="O8" s="17"/>
      <c r="P8" s="100">
        <v>0.19075033624245591</v>
      </c>
      <c r="Q8" s="100">
        <v>0.60068360601633763</v>
      </c>
      <c r="R8" s="100">
        <v>0.30448072539833532</v>
      </c>
      <c r="S8" s="101">
        <v>0.36944381160920942</v>
      </c>
      <c r="T8" s="101">
        <v>4.3728614817846026E-2</v>
      </c>
      <c r="U8" s="101">
        <v>0.1130105765662852</v>
      </c>
      <c r="V8" s="101">
        <v>3.6890395216701379E-2</v>
      </c>
      <c r="W8" s="101">
        <v>0</v>
      </c>
      <c r="X8" s="101">
        <v>6.4243273621279962E-2</v>
      </c>
      <c r="Y8" s="101">
        <v>3.9049832985483902E-2</v>
      </c>
    </row>
    <row r="9" spans="1:26" x14ac:dyDescent="0.2">
      <c r="A9" s="44" t="s">
        <v>336</v>
      </c>
      <c r="B9" s="17"/>
      <c r="C9" s="101">
        <v>207.23168047974517</v>
      </c>
      <c r="D9" s="101">
        <v>72.317880652204664</v>
      </c>
      <c r="E9" s="101">
        <v>108.04594114966915</v>
      </c>
      <c r="F9" s="101">
        <v>83.583424736160069</v>
      </c>
      <c r="G9" s="101">
        <v>36.638233618632086</v>
      </c>
      <c r="H9" s="101">
        <v>11.223316784894138</v>
      </c>
      <c r="I9" s="101">
        <v>13.174379379737459</v>
      </c>
      <c r="J9" s="101">
        <v>19.481039942721495</v>
      </c>
      <c r="K9" s="101">
        <v>0</v>
      </c>
      <c r="L9" s="101">
        <v>0</v>
      </c>
      <c r="M9" s="43"/>
      <c r="N9" s="44" t="s">
        <v>336</v>
      </c>
      <c r="O9" s="17"/>
      <c r="P9" s="101">
        <v>2.4249766136073032</v>
      </c>
      <c r="Q9" s="101">
        <v>0.83459432475859163</v>
      </c>
      <c r="R9" s="101">
        <v>1.2436880946450943</v>
      </c>
      <c r="S9" s="101">
        <v>0.96746238677301133</v>
      </c>
      <c r="T9" s="101">
        <v>0.35422517747568971</v>
      </c>
      <c r="U9" s="101">
        <v>0.13044738881982498</v>
      </c>
      <c r="V9" s="101">
        <v>0.15277137494775381</v>
      </c>
      <c r="W9" s="101">
        <v>0</v>
      </c>
      <c r="X9" s="101">
        <v>0</v>
      </c>
      <c r="Y9" s="101">
        <v>5.05651733982002E-2</v>
      </c>
    </row>
    <row r="10" spans="1:26" x14ac:dyDescent="0.2">
      <c r="A10" s="44" t="s">
        <v>337</v>
      </c>
      <c r="B10" s="17"/>
      <c r="C10" s="101">
        <v>1.6899218901092237</v>
      </c>
      <c r="D10" s="101">
        <v>16.862332750427381</v>
      </c>
      <c r="E10" s="101">
        <v>7.9696272594385098</v>
      </c>
      <c r="F10" s="101">
        <v>19.000805024060124</v>
      </c>
      <c r="G10" s="101">
        <v>5.3642077501962637</v>
      </c>
      <c r="H10" s="101">
        <v>2.551153417913246</v>
      </c>
      <c r="I10" s="101">
        <v>0</v>
      </c>
      <c r="J10" s="101">
        <v>0</v>
      </c>
      <c r="K10" s="101">
        <v>3.51167247908583</v>
      </c>
      <c r="L10" s="101">
        <v>0</v>
      </c>
      <c r="M10" s="43"/>
      <c r="N10" s="44" t="s">
        <v>337</v>
      </c>
      <c r="O10" s="17"/>
      <c r="P10" s="101">
        <v>1.4791438863100427E-2</v>
      </c>
      <c r="Q10" s="101">
        <v>0.19293583067056619</v>
      </c>
      <c r="R10" s="101">
        <v>8.9580651614651952E-2</v>
      </c>
      <c r="S10" s="101">
        <v>0.21715681180889312</v>
      </c>
      <c r="T10" s="101">
        <v>0</v>
      </c>
      <c r="U10" s="101">
        <v>2.9582877726200853E-2</v>
      </c>
      <c r="V10" s="101">
        <v>1.0723793175747809E-2</v>
      </c>
      <c r="W10" s="101">
        <v>0</v>
      </c>
      <c r="X10" s="101">
        <v>4.086134985931493E-2</v>
      </c>
      <c r="Y10" s="101">
        <v>1.2572723033635363E-2</v>
      </c>
    </row>
    <row r="11" spans="1:26" x14ac:dyDescent="0.2">
      <c r="A11" s="46"/>
      <c r="B11" s="47"/>
      <c r="C11" s="47"/>
      <c r="D11" s="47"/>
      <c r="E11" s="47"/>
      <c r="F11" s="47"/>
      <c r="G11" s="47"/>
      <c r="H11" s="47"/>
      <c r="I11" s="47"/>
      <c r="J11" s="47"/>
      <c r="K11" s="47"/>
      <c r="L11" s="47"/>
      <c r="M11" s="48"/>
      <c r="N11" s="46"/>
      <c r="O11" s="47"/>
      <c r="P11" s="47"/>
      <c r="Q11" s="47"/>
      <c r="R11" s="47"/>
      <c r="S11" s="47"/>
      <c r="T11" s="47"/>
      <c r="U11" s="47"/>
      <c r="V11" s="47"/>
      <c r="W11" s="47"/>
      <c r="X11" s="47"/>
      <c r="Y11" s="47"/>
    </row>
    <row r="12" spans="1:26" x14ac:dyDescent="0.2">
      <c r="A12" s="109"/>
      <c r="B12" s="17"/>
      <c r="C12" s="17"/>
      <c r="D12" s="17"/>
      <c r="E12" s="17"/>
      <c r="F12" s="17"/>
      <c r="G12" s="17"/>
      <c r="H12" s="17"/>
      <c r="I12" s="17"/>
      <c r="J12" s="17"/>
      <c r="K12" s="17"/>
      <c r="L12" s="17"/>
      <c r="M12" s="17"/>
      <c r="N12" s="109"/>
      <c r="O12" s="17"/>
      <c r="P12" s="17"/>
      <c r="Q12" s="17"/>
      <c r="R12" s="17"/>
      <c r="S12" s="17"/>
      <c r="T12" s="17"/>
      <c r="U12" s="17"/>
      <c r="V12" s="17"/>
      <c r="W12" s="17"/>
      <c r="X12" s="17"/>
      <c r="Y12" s="17"/>
    </row>
    <row r="13" spans="1:26" x14ac:dyDescent="0.2">
      <c r="A13" s="109"/>
      <c r="B13" s="17"/>
      <c r="C13" s="17"/>
      <c r="D13" s="17"/>
      <c r="E13" s="17"/>
      <c r="F13" s="17"/>
      <c r="G13" s="17"/>
      <c r="H13" s="17"/>
      <c r="I13" s="17"/>
      <c r="J13" s="17"/>
      <c r="K13" s="17"/>
      <c r="L13" s="17"/>
      <c r="M13" s="17"/>
      <c r="N13" s="109"/>
      <c r="O13" s="17"/>
      <c r="P13" s="17"/>
      <c r="Q13" s="17"/>
      <c r="R13" s="17"/>
      <c r="S13" s="17"/>
      <c r="T13" s="17"/>
      <c r="U13" s="17"/>
      <c r="V13" s="17"/>
      <c r="W13" s="17"/>
      <c r="X13" s="17"/>
      <c r="Y13" s="17"/>
    </row>
    <row r="14" spans="1:26" x14ac:dyDescent="0.2">
      <c r="A14" s="109"/>
      <c r="B14" s="17"/>
      <c r="C14" s="17"/>
      <c r="D14" s="17"/>
      <c r="E14" s="17"/>
      <c r="F14" s="17"/>
      <c r="G14" s="17"/>
      <c r="H14" s="17"/>
      <c r="I14" s="17"/>
      <c r="J14" s="17"/>
      <c r="K14" s="17"/>
      <c r="L14" s="17"/>
      <c r="M14" s="17"/>
      <c r="N14" s="109"/>
      <c r="O14" s="17"/>
      <c r="P14" s="17"/>
      <c r="Q14" s="17"/>
      <c r="R14" s="17"/>
      <c r="S14" s="17"/>
      <c r="T14" s="17"/>
      <c r="U14" s="17"/>
      <c r="V14" s="17"/>
      <c r="W14" s="17"/>
      <c r="X14" s="17"/>
      <c r="Y14" s="17"/>
    </row>
    <row r="15" spans="1:26" x14ac:dyDescent="0.2">
      <c r="A15" s="109"/>
      <c r="B15" s="17"/>
      <c r="C15" s="17"/>
      <c r="D15" s="17"/>
      <c r="E15" s="17"/>
      <c r="F15" s="17"/>
      <c r="G15" s="17"/>
      <c r="H15" s="17"/>
      <c r="I15" s="17"/>
      <c r="J15" s="17"/>
      <c r="K15" s="17"/>
      <c r="L15" s="17"/>
      <c r="M15" s="17"/>
      <c r="N15" s="109"/>
      <c r="O15" s="17"/>
      <c r="P15" s="17"/>
      <c r="Q15" s="17"/>
      <c r="R15" s="17"/>
      <c r="S15" s="17"/>
      <c r="T15" s="17"/>
      <c r="U15" s="17"/>
      <c r="V15" s="17"/>
      <c r="W15" s="17"/>
      <c r="X15" s="17"/>
      <c r="Y15" s="17"/>
    </row>
    <row r="16" spans="1:26" x14ac:dyDescent="0.2">
      <c r="A16" s="109"/>
      <c r="B16" s="17"/>
      <c r="C16" s="17"/>
      <c r="D16" s="17"/>
      <c r="E16" s="17"/>
      <c r="F16" s="17"/>
      <c r="G16" s="17"/>
      <c r="H16" s="17"/>
      <c r="I16" s="17"/>
      <c r="J16" s="17"/>
      <c r="K16" s="17"/>
      <c r="L16" s="17"/>
      <c r="M16" s="17"/>
      <c r="N16" s="109"/>
      <c r="O16" s="17"/>
      <c r="P16" s="17"/>
      <c r="Q16" s="17"/>
      <c r="R16" s="17"/>
      <c r="S16" s="17"/>
      <c r="T16" s="17"/>
      <c r="U16" s="17"/>
      <c r="V16" s="17"/>
      <c r="W16" s="17"/>
      <c r="X16" s="17"/>
      <c r="Y16" s="17"/>
    </row>
    <row r="17" spans="1:25" x14ac:dyDescent="0.2">
      <c r="A17" s="109"/>
      <c r="B17" s="17"/>
      <c r="C17" s="17"/>
      <c r="D17" s="17"/>
      <c r="E17" s="17"/>
      <c r="F17" s="17"/>
      <c r="G17" s="17"/>
      <c r="H17" s="17"/>
      <c r="I17" s="17"/>
      <c r="J17" s="17"/>
      <c r="K17" s="17"/>
      <c r="L17" s="17"/>
      <c r="M17" s="17"/>
      <c r="N17" s="109"/>
      <c r="O17" s="17"/>
      <c r="P17" s="17"/>
      <c r="Q17" s="17"/>
      <c r="R17" s="17"/>
      <c r="S17" s="17"/>
      <c r="T17" s="17"/>
      <c r="U17" s="17"/>
      <c r="V17" s="17"/>
      <c r="W17" s="17"/>
      <c r="X17" s="17"/>
      <c r="Y17" s="17"/>
    </row>
    <row r="18" spans="1:25" x14ac:dyDescent="0.2">
      <c r="A18" s="109"/>
      <c r="B18" s="17"/>
      <c r="C18" s="17"/>
      <c r="D18" s="17"/>
      <c r="E18" s="17"/>
      <c r="F18" s="17"/>
      <c r="G18" s="17"/>
      <c r="H18" s="17"/>
      <c r="I18" s="17"/>
      <c r="J18" s="17"/>
      <c r="K18" s="17"/>
      <c r="L18" s="17"/>
      <c r="M18" s="17"/>
      <c r="N18" s="109"/>
      <c r="O18" s="17"/>
      <c r="P18" s="17"/>
      <c r="Q18" s="17"/>
      <c r="R18" s="17"/>
      <c r="S18" s="17"/>
      <c r="T18" s="17"/>
      <c r="U18" s="17"/>
      <c r="V18" s="17"/>
      <c r="W18" s="17"/>
      <c r="X18" s="17"/>
      <c r="Y18" s="17"/>
    </row>
    <row r="19" spans="1:25" x14ac:dyDescent="0.2">
      <c r="A19" s="109"/>
      <c r="B19" s="17"/>
      <c r="C19" s="17"/>
      <c r="D19" s="17"/>
      <c r="E19" s="17"/>
      <c r="F19" s="17"/>
      <c r="G19" s="17"/>
      <c r="H19" s="17"/>
      <c r="I19" s="17"/>
      <c r="J19" s="17"/>
      <c r="K19" s="17"/>
      <c r="L19" s="17"/>
      <c r="M19" s="17"/>
      <c r="N19" s="109"/>
      <c r="O19" s="17"/>
      <c r="P19" s="17"/>
      <c r="Q19" s="17"/>
      <c r="R19" s="17"/>
      <c r="S19" s="17"/>
      <c r="T19" s="17"/>
      <c r="U19" s="17"/>
      <c r="V19" s="17"/>
      <c r="W19" s="17"/>
      <c r="X19" s="17"/>
      <c r="Y19" s="17"/>
    </row>
    <row r="20" spans="1:25" x14ac:dyDescent="0.2">
      <c r="A20" s="109"/>
      <c r="B20" s="17"/>
      <c r="C20" s="17"/>
      <c r="D20" s="17"/>
      <c r="E20" s="17"/>
      <c r="F20" s="17"/>
      <c r="G20" s="17"/>
      <c r="H20" s="17"/>
      <c r="I20" s="17"/>
      <c r="J20" s="17"/>
      <c r="K20" s="17"/>
      <c r="L20" s="17"/>
      <c r="M20" s="17"/>
      <c r="N20" s="109"/>
      <c r="O20" s="17"/>
      <c r="P20" s="17"/>
      <c r="Q20" s="17"/>
      <c r="R20" s="17"/>
      <c r="S20" s="17"/>
      <c r="T20" s="17"/>
      <c r="U20" s="17"/>
      <c r="V20" s="17"/>
      <c r="W20" s="17"/>
      <c r="X20" s="17"/>
      <c r="Y20" s="17"/>
    </row>
    <row r="21" spans="1:25" x14ac:dyDescent="0.2">
      <c r="A21" s="109"/>
      <c r="B21" s="17"/>
      <c r="C21" s="17"/>
      <c r="D21" s="17"/>
      <c r="E21" s="17"/>
      <c r="F21" s="17"/>
      <c r="G21" s="17"/>
      <c r="H21" s="17"/>
      <c r="I21" s="17"/>
      <c r="J21" s="17"/>
      <c r="K21" s="17"/>
      <c r="L21" s="17"/>
      <c r="M21" s="17"/>
      <c r="N21" s="109"/>
      <c r="O21" s="17"/>
      <c r="P21" s="17"/>
      <c r="Q21" s="17"/>
      <c r="R21" s="17"/>
      <c r="S21" s="17"/>
      <c r="T21" s="17"/>
      <c r="U21" s="17"/>
      <c r="V21" s="17"/>
      <c r="W21" s="17"/>
      <c r="X21" s="17"/>
      <c r="Y21" s="17"/>
    </row>
    <row r="22" spans="1:25" x14ac:dyDescent="0.2">
      <c r="A22" s="109"/>
      <c r="B22" s="17"/>
      <c r="C22" s="17"/>
      <c r="D22" s="17"/>
      <c r="E22" s="17"/>
      <c r="F22" s="17"/>
      <c r="G22" s="17"/>
      <c r="H22" s="17"/>
      <c r="I22" s="17"/>
      <c r="J22" s="17"/>
      <c r="K22" s="17"/>
      <c r="L22" s="17"/>
      <c r="M22" s="17"/>
      <c r="N22" s="109"/>
      <c r="O22" s="17"/>
      <c r="P22" s="17"/>
      <c r="Q22" s="17"/>
      <c r="R22" s="17"/>
      <c r="S22" s="17"/>
      <c r="T22" s="17"/>
      <c r="U22" s="17"/>
      <c r="V22" s="17"/>
      <c r="W22" s="17"/>
      <c r="X22" s="17"/>
      <c r="Y22" s="17"/>
    </row>
    <row r="23" spans="1:25" x14ac:dyDescent="0.2">
      <c r="A23" s="109"/>
      <c r="B23" s="17"/>
      <c r="C23" s="17"/>
      <c r="D23" s="17"/>
      <c r="E23" s="17"/>
      <c r="F23" s="17"/>
      <c r="G23" s="17"/>
      <c r="H23" s="17"/>
      <c r="I23" s="17"/>
      <c r="J23" s="17"/>
      <c r="K23" s="17"/>
      <c r="L23" s="17"/>
      <c r="M23" s="17"/>
      <c r="N23" s="109"/>
      <c r="O23" s="17"/>
      <c r="P23" s="17"/>
      <c r="Q23" s="17"/>
      <c r="R23" s="17"/>
      <c r="S23" s="17"/>
      <c r="T23" s="17"/>
      <c r="U23" s="17"/>
      <c r="V23" s="17"/>
      <c r="W23" s="17"/>
      <c r="X23" s="17"/>
      <c r="Y23" s="17"/>
    </row>
    <row r="24" spans="1:25" x14ac:dyDescent="0.2">
      <c r="A24" s="109"/>
      <c r="B24" s="17"/>
      <c r="C24" s="17"/>
      <c r="D24" s="17"/>
      <c r="E24" s="17"/>
      <c r="F24" s="17"/>
      <c r="G24" s="17"/>
      <c r="H24" s="17"/>
      <c r="I24" s="17"/>
      <c r="J24" s="17"/>
      <c r="K24" s="17"/>
      <c r="L24" s="17"/>
      <c r="M24" s="17"/>
      <c r="N24" s="109"/>
      <c r="O24" s="17"/>
      <c r="P24" s="17"/>
      <c r="Q24" s="17"/>
      <c r="R24" s="17"/>
      <c r="S24" s="17"/>
      <c r="T24" s="17"/>
      <c r="U24" s="17"/>
      <c r="V24" s="17"/>
      <c r="W24" s="17"/>
      <c r="X24" s="17"/>
      <c r="Y24" s="17"/>
    </row>
    <row r="25" spans="1:25" x14ac:dyDescent="0.2">
      <c r="A25" s="109"/>
      <c r="B25" s="17"/>
      <c r="C25" s="17"/>
      <c r="D25" s="17"/>
      <c r="E25" s="17"/>
      <c r="F25" s="17"/>
      <c r="G25" s="17"/>
      <c r="H25" s="17"/>
      <c r="I25" s="17"/>
      <c r="J25" s="17"/>
      <c r="K25" s="17"/>
      <c r="L25" s="17"/>
      <c r="M25" s="17"/>
      <c r="N25" s="109"/>
      <c r="O25" s="17"/>
      <c r="P25" s="17"/>
      <c r="Q25" s="17"/>
      <c r="R25" s="17"/>
      <c r="S25" s="17"/>
      <c r="T25" s="17"/>
      <c r="U25" s="17"/>
      <c r="V25" s="17"/>
      <c r="W25" s="17"/>
      <c r="X25" s="17"/>
      <c r="Y25" s="17"/>
    </row>
    <row r="26" spans="1:25" x14ac:dyDescent="0.2">
      <c r="A26" s="109"/>
      <c r="B26" s="17"/>
      <c r="C26" s="17"/>
      <c r="D26" s="17"/>
      <c r="E26" s="17"/>
      <c r="F26" s="17"/>
      <c r="G26" s="17"/>
      <c r="H26" s="17"/>
      <c r="I26" s="17"/>
      <c r="J26" s="17"/>
      <c r="K26" s="17"/>
      <c r="L26" s="17"/>
      <c r="M26" s="17"/>
      <c r="N26" s="109"/>
      <c r="O26" s="17"/>
      <c r="P26" s="17"/>
      <c r="Q26" s="17"/>
      <c r="R26" s="17"/>
      <c r="S26" s="17"/>
      <c r="T26" s="17"/>
      <c r="U26" s="17"/>
      <c r="V26" s="17"/>
      <c r="W26" s="17"/>
      <c r="X26" s="17"/>
      <c r="Y26" s="17"/>
    </row>
    <row r="27" spans="1:25" x14ac:dyDescent="0.2">
      <c r="A27" s="109"/>
      <c r="B27" s="17"/>
      <c r="C27" s="17"/>
      <c r="D27" s="17"/>
      <c r="E27" s="17"/>
      <c r="F27" s="17"/>
      <c r="G27" s="17"/>
      <c r="H27" s="17"/>
      <c r="I27" s="17"/>
      <c r="J27" s="17"/>
      <c r="K27" s="17"/>
      <c r="L27" s="17"/>
      <c r="M27" s="17"/>
      <c r="N27" s="109"/>
      <c r="O27" s="17"/>
      <c r="P27" s="17"/>
      <c r="Q27" s="17"/>
      <c r="R27" s="17"/>
      <c r="S27" s="17"/>
      <c r="T27" s="17"/>
      <c r="U27" s="17"/>
      <c r="V27" s="17"/>
      <c r="W27" s="17"/>
      <c r="X27" s="17"/>
      <c r="Y27" s="17"/>
    </row>
    <row r="28" spans="1:25" x14ac:dyDescent="0.2">
      <c r="A28" s="109"/>
      <c r="B28" s="17"/>
      <c r="C28" s="17"/>
      <c r="D28" s="17"/>
      <c r="E28" s="17"/>
      <c r="F28" s="17"/>
      <c r="G28" s="17"/>
      <c r="H28" s="17"/>
      <c r="I28" s="17"/>
      <c r="J28" s="17"/>
      <c r="K28" s="17"/>
      <c r="L28" s="17"/>
      <c r="M28" s="17"/>
      <c r="N28" s="109"/>
      <c r="O28" s="17"/>
      <c r="P28" s="17"/>
      <c r="Q28" s="17"/>
      <c r="R28" s="17"/>
      <c r="S28" s="17"/>
      <c r="T28" s="17"/>
      <c r="U28" s="17"/>
      <c r="V28" s="17"/>
      <c r="W28" s="17"/>
      <c r="X28" s="17"/>
      <c r="Y28" s="17"/>
    </row>
    <row r="29" spans="1:25" x14ac:dyDescent="0.2">
      <c r="A29" s="109"/>
      <c r="B29" s="17"/>
      <c r="C29" s="17"/>
      <c r="D29" s="17"/>
      <c r="E29" s="17"/>
      <c r="F29" s="17"/>
      <c r="G29" s="17"/>
      <c r="H29" s="17"/>
      <c r="I29" s="17"/>
      <c r="J29" s="17"/>
      <c r="K29" s="17"/>
      <c r="L29" s="17"/>
      <c r="M29" s="17"/>
      <c r="N29" s="109"/>
      <c r="O29" s="17"/>
      <c r="P29" s="17"/>
      <c r="Q29" s="17"/>
      <c r="R29" s="17"/>
      <c r="S29" s="17"/>
      <c r="T29" s="17"/>
      <c r="U29" s="17"/>
      <c r="V29" s="17"/>
      <c r="W29" s="17"/>
      <c r="X29" s="17"/>
      <c r="Y29" s="17"/>
    </row>
    <row r="30" spans="1:25" x14ac:dyDescent="0.2">
      <c r="A30" s="109"/>
      <c r="B30" s="17"/>
      <c r="C30" s="17"/>
      <c r="D30" s="17"/>
      <c r="E30" s="17"/>
      <c r="F30" s="17"/>
      <c r="G30" s="17"/>
      <c r="H30" s="17"/>
      <c r="I30" s="17"/>
      <c r="J30" s="17"/>
      <c r="K30" s="17"/>
      <c r="L30" s="17"/>
      <c r="M30" s="17"/>
      <c r="N30" s="109"/>
      <c r="O30" s="17"/>
      <c r="P30" s="17"/>
      <c r="Q30" s="17"/>
      <c r="R30" s="17"/>
      <c r="S30" s="17"/>
      <c r="T30" s="17"/>
      <c r="U30" s="17"/>
      <c r="V30" s="17"/>
      <c r="W30" s="17"/>
      <c r="X30" s="17"/>
      <c r="Y30" s="17"/>
    </row>
    <row r="32" spans="1:25" x14ac:dyDescent="0.2">
      <c r="A32" s="3" t="s">
        <v>520</v>
      </c>
    </row>
    <row r="33" spans="1:25" x14ac:dyDescent="0.2">
      <c r="A33" s="39"/>
    </row>
    <row r="34" spans="1:25" x14ac:dyDescent="0.2">
      <c r="A34" s="104" t="s">
        <v>541</v>
      </c>
      <c r="B34" s="105"/>
      <c r="C34" s="106">
        <v>1</v>
      </c>
      <c r="D34" s="106">
        <v>2</v>
      </c>
      <c r="E34" s="106">
        <v>3</v>
      </c>
      <c r="F34" s="106">
        <v>4</v>
      </c>
      <c r="G34" s="106">
        <v>5</v>
      </c>
      <c r="H34" s="106">
        <v>6</v>
      </c>
      <c r="I34" s="106">
        <v>7</v>
      </c>
      <c r="J34" s="106">
        <v>8</v>
      </c>
      <c r="K34" s="106">
        <v>9</v>
      </c>
      <c r="L34" s="106">
        <v>10</v>
      </c>
      <c r="M34" s="107"/>
      <c r="N34" s="104" t="s">
        <v>201</v>
      </c>
      <c r="O34" s="108"/>
      <c r="P34" s="106">
        <v>1</v>
      </c>
      <c r="Q34" s="106">
        <v>2</v>
      </c>
      <c r="R34" s="106">
        <v>3</v>
      </c>
      <c r="S34" s="106">
        <v>4</v>
      </c>
      <c r="T34" s="106">
        <v>5</v>
      </c>
      <c r="U34" s="106">
        <v>6</v>
      </c>
      <c r="V34" s="106">
        <v>7</v>
      </c>
      <c r="W34" s="106">
        <v>8</v>
      </c>
      <c r="X34" s="106">
        <v>9</v>
      </c>
      <c r="Y34" s="106">
        <v>10</v>
      </c>
    </row>
    <row r="35" spans="1:25" x14ac:dyDescent="0.2">
      <c r="A35" s="40"/>
      <c r="B35" s="17"/>
      <c r="C35" s="41" t="s">
        <v>202</v>
      </c>
      <c r="D35" s="41" t="s">
        <v>203</v>
      </c>
      <c r="E35" s="42" t="s">
        <v>204</v>
      </c>
      <c r="F35" s="42" t="s">
        <v>524</v>
      </c>
      <c r="G35" s="42" t="s">
        <v>345</v>
      </c>
      <c r="H35" s="42" t="s">
        <v>205</v>
      </c>
      <c r="I35" s="42" t="s">
        <v>331</v>
      </c>
      <c r="J35" s="42" t="s">
        <v>389</v>
      </c>
      <c r="K35" s="42" t="s">
        <v>332</v>
      </c>
      <c r="L35" s="43" t="s">
        <v>333</v>
      </c>
      <c r="N35" s="40"/>
      <c r="O35" s="17"/>
      <c r="P35" s="41" t="s">
        <v>202</v>
      </c>
      <c r="Q35" s="41" t="s">
        <v>203</v>
      </c>
      <c r="R35" s="42" t="s">
        <v>204</v>
      </c>
      <c r="S35" s="42" t="s">
        <v>524</v>
      </c>
      <c r="T35" s="42" t="s">
        <v>345</v>
      </c>
      <c r="U35" s="42" t="s">
        <v>205</v>
      </c>
      <c r="V35" s="42" t="s">
        <v>331</v>
      </c>
      <c r="W35" s="42" t="s">
        <v>389</v>
      </c>
      <c r="X35" s="42" t="s">
        <v>332</v>
      </c>
      <c r="Y35" s="43" t="s">
        <v>333</v>
      </c>
    </row>
    <row r="36" spans="1:25" x14ac:dyDescent="0.2">
      <c r="A36" s="44" t="s">
        <v>334</v>
      </c>
      <c r="B36" s="17"/>
      <c r="C36" s="17">
        <v>2.5499999999999998</v>
      </c>
      <c r="D36" s="17">
        <v>0</v>
      </c>
      <c r="E36" s="17">
        <v>4.83</v>
      </c>
      <c r="F36" s="45">
        <v>0</v>
      </c>
      <c r="G36" s="45">
        <v>0</v>
      </c>
      <c r="H36" s="45"/>
      <c r="I36" s="45">
        <v>6.8</v>
      </c>
      <c r="J36" s="45">
        <v>0</v>
      </c>
      <c r="K36" s="45"/>
      <c r="L36" s="45">
        <v>4.09</v>
      </c>
      <c r="M36" s="43"/>
      <c r="N36" s="44" t="s">
        <v>334</v>
      </c>
      <c r="O36" s="17"/>
      <c r="P36" s="17">
        <v>0.02</v>
      </c>
      <c r="Q36" s="17">
        <v>0.01</v>
      </c>
      <c r="R36" s="17">
        <v>0.01</v>
      </c>
      <c r="S36" s="45">
        <v>8.9999999999999993E-3</v>
      </c>
      <c r="T36" s="45">
        <v>3.0000000000000001E-3</v>
      </c>
      <c r="U36" s="45">
        <v>2E-3</v>
      </c>
      <c r="V36" s="45">
        <v>0</v>
      </c>
      <c r="W36" s="45">
        <v>0.01</v>
      </c>
      <c r="X36" s="45">
        <v>7.0000000000000001E-3</v>
      </c>
      <c r="Y36" s="45">
        <v>0</v>
      </c>
    </row>
    <row r="37" spans="1:25" x14ac:dyDescent="0.2">
      <c r="A37" s="44" t="s">
        <v>335</v>
      </c>
      <c r="B37" s="17"/>
      <c r="C37" s="17">
        <v>3.07</v>
      </c>
      <c r="D37" s="17">
        <v>2.09</v>
      </c>
      <c r="E37" s="17">
        <v>3.26</v>
      </c>
      <c r="F37" s="45">
        <v>0</v>
      </c>
      <c r="G37" s="45">
        <v>0</v>
      </c>
      <c r="H37" s="45"/>
      <c r="I37" s="45">
        <v>9.18</v>
      </c>
      <c r="J37" s="45">
        <v>0</v>
      </c>
      <c r="K37" s="45">
        <v>1.93</v>
      </c>
      <c r="L37" s="45">
        <v>2.25</v>
      </c>
      <c r="M37" s="43"/>
      <c r="N37" s="44" t="s">
        <v>335</v>
      </c>
      <c r="O37" s="17"/>
      <c r="P37" s="17">
        <v>0.03</v>
      </c>
      <c r="Q37" s="17">
        <v>0.01</v>
      </c>
      <c r="R37" s="17">
        <v>0.01</v>
      </c>
      <c r="S37" s="45">
        <v>0.01</v>
      </c>
      <c r="T37" s="45">
        <v>7.0000000000000001E-3</v>
      </c>
      <c r="U37" s="45">
        <v>8.9999999999999993E-3</v>
      </c>
      <c r="V37" s="45">
        <v>0</v>
      </c>
      <c r="W37" s="45">
        <v>8.9999999999999993E-3</v>
      </c>
      <c r="X37" s="45">
        <v>0.02</v>
      </c>
      <c r="Y37" s="45">
        <v>0</v>
      </c>
    </row>
    <row r="38" spans="1:25" x14ac:dyDescent="0.2">
      <c r="A38" s="44" t="s">
        <v>336</v>
      </c>
      <c r="B38" s="17"/>
      <c r="C38" s="45">
        <v>4.3499999999999996</v>
      </c>
      <c r="D38" s="45">
        <v>0</v>
      </c>
      <c r="E38" s="45">
        <v>6.69</v>
      </c>
      <c r="F38" s="45">
        <v>0</v>
      </c>
      <c r="G38" s="45">
        <v>0</v>
      </c>
      <c r="H38" s="45"/>
      <c r="I38" s="45">
        <v>8.35</v>
      </c>
      <c r="J38" s="45">
        <v>6.52</v>
      </c>
      <c r="K38" s="45">
        <v>2.84</v>
      </c>
      <c r="L38" s="45">
        <v>3.1</v>
      </c>
      <c r="M38" s="43"/>
      <c r="N38" s="44" t="s">
        <v>336</v>
      </c>
      <c r="O38" s="17"/>
      <c r="P38" s="45">
        <v>0.4</v>
      </c>
      <c r="Q38" s="45">
        <v>0.02</v>
      </c>
      <c r="R38" s="45">
        <v>0</v>
      </c>
      <c r="S38" s="45">
        <v>0.02</v>
      </c>
      <c r="T38" s="45">
        <v>0</v>
      </c>
      <c r="U38" s="45">
        <v>0</v>
      </c>
      <c r="V38" s="45">
        <v>0</v>
      </c>
      <c r="W38" s="45">
        <v>0.08</v>
      </c>
      <c r="X38" s="45">
        <v>0.03</v>
      </c>
      <c r="Y38" s="45">
        <v>0</v>
      </c>
    </row>
    <row r="39" spans="1:25" x14ac:dyDescent="0.2">
      <c r="A39" s="44" t="s">
        <v>337</v>
      </c>
      <c r="B39" s="17"/>
      <c r="C39" s="45">
        <v>1.45</v>
      </c>
      <c r="D39" s="45">
        <v>0</v>
      </c>
      <c r="E39" s="45">
        <v>6.58</v>
      </c>
      <c r="F39" s="45">
        <v>0</v>
      </c>
      <c r="G39" s="45">
        <v>0</v>
      </c>
      <c r="H39" s="45"/>
      <c r="I39" s="45">
        <v>7.23</v>
      </c>
      <c r="J39" s="45">
        <v>0</v>
      </c>
      <c r="K39" s="45">
        <v>0</v>
      </c>
      <c r="L39" s="45">
        <v>4.09</v>
      </c>
      <c r="M39" s="43"/>
      <c r="N39" s="44" t="s">
        <v>337</v>
      </c>
      <c r="O39" s="17"/>
      <c r="P39" s="45">
        <v>0.01</v>
      </c>
      <c r="Q39" s="45">
        <v>7.0000000000000001E-3</v>
      </c>
      <c r="R39" s="45">
        <v>0.01</v>
      </c>
      <c r="S39" s="45">
        <v>7.0000000000000001E-3</v>
      </c>
      <c r="T39" s="45">
        <v>1E-3</v>
      </c>
      <c r="U39" s="45">
        <v>0</v>
      </c>
      <c r="V39" s="45">
        <v>0</v>
      </c>
      <c r="W39" s="45">
        <v>2E-3</v>
      </c>
      <c r="X39" s="45">
        <v>1E-3</v>
      </c>
      <c r="Y39" s="45">
        <v>0</v>
      </c>
    </row>
    <row r="40" spans="1:25" x14ac:dyDescent="0.2">
      <c r="A40" s="46" t="s">
        <v>521</v>
      </c>
      <c r="B40" s="47"/>
      <c r="C40" s="47"/>
      <c r="D40" s="47"/>
      <c r="E40" s="47"/>
      <c r="F40" s="47"/>
      <c r="G40" s="47"/>
      <c r="H40" s="47"/>
      <c r="I40" s="47"/>
      <c r="J40" s="47"/>
      <c r="K40" s="47"/>
      <c r="L40" s="47"/>
      <c r="M40" s="48"/>
      <c r="N40" s="46" t="s">
        <v>338</v>
      </c>
      <c r="O40" s="47"/>
      <c r="P40" s="47"/>
      <c r="Q40" s="47"/>
      <c r="R40" s="47"/>
      <c r="S40" s="47"/>
      <c r="T40" s="47"/>
      <c r="U40" s="47"/>
      <c r="V40" s="47"/>
      <c r="W40" s="47"/>
      <c r="X40" s="47"/>
      <c r="Y40" s="47"/>
    </row>
    <row r="41" spans="1:25" x14ac:dyDescent="0.2">
      <c r="A41" s="44" t="s">
        <v>522</v>
      </c>
    </row>
    <row r="60" spans="1:25" x14ac:dyDescent="0.2">
      <c r="A60" s="3" t="s">
        <v>525</v>
      </c>
    </row>
    <row r="61" spans="1:25" x14ac:dyDescent="0.2">
      <c r="A61" s="39"/>
    </row>
    <row r="62" spans="1:25" x14ac:dyDescent="0.2">
      <c r="A62" s="104" t="s">
        <v>541</v>
      </c>
      <c r="B62" s="105"/>
      <c r="C62" s="106">
        <v>1</v>
      </c>
      <c r="D62" s="106">
        <v>2</v>
      </c>
      <c r="E62" s="106">
        <v>3</v>
      </c>
      <c r="F62" s="106">
        <v>4</v>
      </c>
      <c r="G62" s="106">
        <v>5</v>
      </c>
      <c r="H62" s="106">
        <v>6</v>
      </c>
      <c r="I62" s="106">
        <v>7</v>
      </c>
      <c r="J62" s="106">
        <v>8</v>
      </c>
      <c r="K62" s="106">
        <v>9</v>
      </c>
      <c r="L62" s="106">
        <v>10</v>
      </c>
      <c r="M62" s="107"/>
      <c r="N62" s="104" t="s">
        <v>201</v>
      </c>
      <c r="O62" s="108"/>
      <c r="P62" s="106">
        <v>1</v>
      </c>
      <c r="Q62" s="106">
        <v>2</v>
      </c>
      <c r="R62" s="106">
        <v>3</v>
      </c>
      <c r="S62" s="106">
        <v>4</v>
      </c>
      <c r="T62" s="106">
        <v>5</v>
      </c>
      <c r="U62" s="106">
        <v>6</v>
      </c>
      <c r="V62" s="106">
        <v>7</v>
      </c>
      <c r="W62" s="106">
        <v>8</v>
      </c>
      <c r="X62" s="106">
        <v>9</v>
      </c>
      <c r="Y62" s="106">
        <v>10</v>
      </c>
    </row>
    <row r="63" spans="1:25" x14ac:dyDescent="0.2">
      <c r="A63" s="40"/>
      <c r="B63" s="17"/>
      <c r="C63" s="41" t="s">
        <v>339</v>
      </c>
      <c r="D63" s="41" t="s">
        <v>340</v>
      </c>
      <c r="E63" s="42" t="s">
        <v>331</v>
      </c>
      <c r="F63" s="42" t="s">
        <v>526</v>
      </c>
      <c r="G63" s="42" t="s">
        <v>341</v>
      </c>
      <c r="H63" s="42" t="s">
        <v>342</v>
      </c>
      <c r="I63" s="42" t="s">
        <v>343</v>
      </c>
      <c r="J63" s="42" t="s">
        <v>344</v>
      </c>
      <c r="K63" s="42" t="s">
        <v>345</v>
      </c>
      <c r="L63" s="42" t="s">
        <v>346</v>
      </c>
      <c r="M63" s="43"/>
      <c r="N63" s="40"/>
      <c r="O63" s="17"/>
      <c r="P63" s="41" t="s">
        <v>339</v>
      </c>
      <c r="Q63" s="41" t="s">
        <v>340</v>
      </c>
      <c r="R63" s="42" t="s">
        <v>331</v>
      </c>
      <c r="S63" s="42" t="s">
        <v>526</v>
      </c>
      <c r="T63" s="42" t="s">
        <v>341</v>
      </c>
      <c r="U63" s="42" t="s">
        <v>342</v>
      </c>
      <c r="V63" s="42" t="s">
        <v>343</v>
      </c>
      <c r="W63" s="42" t="s">
        <v>344</v>
      </c>
      <c r="X63" s="42" t="s">
        <v>345</v>
      </c>
      <c r="Y63" s="42" t="s">
        <v>346</v>
      </c>
    </row>
    <row r="64" spans="1:25" x14ac:dyDescent="0.2">
      <c r="A64" s="44" t="s">
        <v>334</v>
      </c>
      <c r="B64" s="17"/>
      <c r="C64" s="17">
        <v>3.05</v>
      </c>
      <c r="D64" s="17">
        <v>14.92</v>
      </c>
      <c r="E64" s="17">
        <v>13.12</v>
      </c>
      <c r="F64" s="45">
        <v>3.08</v>
      </c>
      <c r="G64" s="45">
        <v>0</v>
      </c>
      <c r="H64" s="45">
        <v>0</v>
      </c>
      <c r="I64" s="45">
        <v>0</v>
      </c>
      <c r="J64" s="45">
        <v>5.19</v>
      </c>
      <c r="K64" s="45">
        <v>0</v>
      </c>
      <c r="L64" s="45">
        <v>0</v>
      </c>
      <c r="M64" s="43"/>
      <c r="N64" s="44" t="s">
        <v>334</v>
      </c>
      <c r="O64" s="17"/>
      <c r="P64" s="17">
        <v>0.06</v>
      </c>
      <c r="Q64" s="17">
        <v>0</v>
      </c>
      <c r="R64" s="17">
        <v>0</v>
      </c>
      <c r="S64" s="45">
        <v>0.05</v>
      </c>
      <c r="T64" s="45">
        <v>0.05</v>
      </c>
      <c r="U64" s="45">
        <v>0</v>
      </c>
      <c r="V64" s="45">
        <v>0.03</v>
      </c>
      <c r="W64" s="45">
        <v>0.04</v>
      </c>
      <c r="X64" s="45">
        <v>0.04</v>
      </c>
      <c r="Y64" s="45">
        <v>0.04</v>
      </c>
    </row>
    <row r="65" spans="1:25" x14ac:dyDescent="0.2">
      <c r="A65" s="44" t="s">
        <v>335</v>
      </c>
      <c r="B65" s="17"/>
      <c r="C65" s="17">
        <v>0</v>
      </c>
      <c r="D65" s="17">
        <v>13.42</v>
      </c>
      <c r="E65" s="17">
        <v>18.920000000000002</v>
      </c>
      <c r="F65" s="45">
        <v>7.83</v>
      </c>
      <c r="G65" s="45">
        <v>0</v>
      </c>
      <c r="H65" s="45">
        <v>16.27</v>
      </c>
      <c r="I65" s="45">
        <v>0</v>
      </c>
      <c r="J65" s="45">
        <v>6.58</v>
      </c>
      <c r="K65" s="45">
        <v>0</v>
      </c>
      <c r="L65" s="45">
        <v>5.47</v>
      </c>
      <c r="M65" s="43"/>
      <c r="N65" s="44" t="s">
        <v>335</v>
      </c>
      <c r="O65" s="17"/>
      <c r="P65" s="17">
        <v>7.0000000000000007E-2</v>
      </c>
      <c r="Q65" s="17">
        <v>0</v>
      </c>
      <c r="R65" s="17">
        <v>0</v>
      </c>
      <c r="S65" s="45">
        <v>0.15</v>
      </c>
      <c r="T65" s="45">
        <v>7.0000000000000007E-2</v>
      </c>
      <c r="U65" s="45">
        <v>0.32</v>
      </c>
      <c r="V65" s="45">
        <v>0</v>
      </c>
      <c r="W65" s="45">
        <v>0.09</v>
      </c>
      <c r="X65" s="45">
        <v>0.08</v>
      </c>
      <c r="Y65" s="45">
        <v>0.11</v>
      </c>
    </row>
    <row r="66" spans="1:25" x14ac:dyDescent="0.2">
      <c r="A66" s="44" t="s">
        <v>336</v>
      </c>
      <c r="B66" s="17"/>
      <c r="C66" s="45">
        <v>0</v>
      </c>
      <c r="D66" s="45">
        <v>10.27</v>
      </c>
      <c r="E66" s="45">
        <v>16.170000000000002</v>
      </c>
      <c r="F66" s="45">
        <v>8.93</v>
      </c>
      <c r="G66" s="45">
        <v>0</v>
      </c>
      <c r="H66" s="45">
        <v>0</v>
      </c>
      <c r="I66" s="45">
        <v>0</v>
      </c>
      <c r="J66" s="45">
        <v>6</v>
      </c>
      <c r="K66" s="45">
        <v>0</v>
      </c>
      <c r="L66" s="45">
        <v>6.56</v>
      </c>
      <c r="M66" s="43"/>
      <c r="N66" s="44" t="s">
        <v>336</v>
      </c>
      <c r="O66" s="17"/>
      <c r="P66" s="45">
        <v>7.0000000000000007E-2</v>
      </c>
      <c r="Q66" s="45">
        <v>0</v>
      </c>
      <c r="R66" s="45">
        <v>0</v>
      </c>
      <c r="S66" s="45">
        <v>0.17</v>
      </c>
      <c r="T66" s="45">
        <v>0.12</v>
      </c>
      <c r="U66" s="45">
        <v>0.06</v>
      </c>
      <c r="V66" s="45">
        <v>0</v>
      </c>
      <c r="W66" s="45">
        <v>7.0000000000000007E-2</v>
      </c>
      <c r="X66" s="45">
        <v>0.06</v>
      </c>
      <c r="Y66" s="45">
        <v>0.13</v>
      </c>
    </row>
    <row r="67" spans="1:25" x14ac:dyDescent="0.2">
      <c r="A67" s="44" t="s">
        <v>337</v>
      </c>
      <c r="B67" s="17"/>
      <c r="C67" s="45">
        <v>4.09</v>
      </c>
      <c r="D67" s="45">
        <v>18.89</v>
      </c>
      <c r="E67" s="45">
        <v>15.22</v>
      </c>
      <c r="F67" s="45">
        <v>0</v>
      </c>
      <c r="G67" s="45">
        <v>0</v>
      </c>
      <c r="H67" s="45">
        <v>0</v>
      </c>
      <c r="I67" s="45">
        <v>0</v>
      </c>
      <c r="J67" s="45">
        <v>3.95</v>
      </c>
      <c r="K67" s="45">
        <v>0</v>
      </c>
      <c r="L67" s="45">
        <v>0</v>
      </c>
      <c r="M67" s="43"/>
      <c r="N67" s="44" t="s">
        <v>337</v>
      </c>
      <c r="O67" s="17"/>
      <c r="P67" s="45">
        <v>0.08</v>
      </c>
      <c r="Q67" s="45">
        <v>0</v>
      </c>
      <c r="R67" s="45">
        <v>0</v>
      </c>
      <c r="S67" s="45">
        <v>0.02</v>
      </c>
      <c r="T67" s="45">
        <v>0.02</v>
      </c>
      <c r="U67" s="45">
        <v>0</v>
      </c>
      <c r="V67" s="45">
        <v>0.03</v>
      </c>
      <c r="W67" s="45">
        <v>0.03</v>
      </c>
      <c r="X67" s="45">
        <v>0.05</v>
      </c>
      <c r="Y67" s="45">
        <v>0.02</v>
      </c>
    </row>
    <row r="68" spans="1:25" x14ac:dyDescent="0.2">
      <c r="A68" s="46"/>
      <c r="B68" s="47"/>
      <c r="C68" s="47"/>
      <c r="D68" s="47"/>
      <c r="E68" s="47"/>
      <c r="F68" s="47"/>
      <c r="G68" s="47"/>
      <c r="H68" s="47"/>
      <c r="I68" s="47"/>
      <c r="J68" s="47"/>
      <c r="K68" s="47"/>
      <c r="L68" s="47"/>
      <c r="M68" s="48"/>
      <c r="N68" s="46"/>
      <c r="O68" s="47"/>
      <c r="P68" s="47"/>
      <c r="Q68" s="47"/>
      <c r="R68" s="47"/>
      <c r="S68" s="47"/>
      <c r="T68" s="47"/>
      <c r="U68" s="47"/>
      <c r="V68" s="47"/>
      <c r="W68" s="47"/>
      <c r="X68" s="47"/>
      <c r="Y68" s="47"/>
    </row>
    <row r="89" spans="1:25" x14ac:dyDescent="0.2">
      <c r="A89" s="3" t="s">
        <v>527</v>
      </c>
    </row>
    <row r="90" spans="1:25" x14ac:dyDescent="0.2">
      <c r="A90" s="39"/>
    </row>
    <row r="91" spans="1:25" x14ac:dyDescent="0.2">
      <c r="A91" s="104" t="s">
        <v>541</v>
      </c>
      <c r="B91" s="105"/>
      <c r="C91" s="106">
        <v>1</v>
      </c>
      <c r="D91" s="106">
        <v>2</v>
      </c>
      <c r="E91" s="106">
        <v>3</v>
      </c>
      <c r="F91" s="106">
        <v>4</v>
      </c>
      <c r="G91" s="106">
        <v>5</v>
      </c>
      <c r="H91" s="106">
        <v>6</v>
      </c>
      <c r="I91" s="106">
        <v>7</v>
      </c>
      <c r="J91" s="106">
        <v>8</v>
      </c>
      <c r="K91" s="106">
        <v>9</v>
      </c>
      <c r="L91" s="106">
        <v>10</v>
      </c>
      <c r="M91" s="107"/>
      <c r="N91" s="104" t="s">
        <v>201</v>
      </c>
      <c r="O91" s="108"/>
      <c r="P91" s="106">
        <v>1</v>
      </c>
      <c r="Q91" s="106">
        <v>2</v>
      </c>
      <c r="R91" s="106">
        <v>3</v>
      </c>
      <c r="S91" s="106">
        <v>4</v>
      </c>
      <c r="T91" s="106">
        <v>5</v>
      </c>
      <c r="U91" s="106">
        <v>6</v>
      </c>
      <c r="V91" s="106">
        <v>7</v>
      </c>
      <c r="W91" s="106">
        <v>8</v>
      </c>
      <c r="X91" s="106">
        <v>9</v>
      </c>
      <c r="Y91" s="106">
        <v>10</v>
      </c>
    </row>
    <row r="92" spans="1:25" x14ac:dyDescent="0.2">
      <c r="A92" s="40"/>
      <c r="B92" s="17"/>
      <c r="C92" s="41" t="s">
        <v>526</v>
      </c>
      <c r="D92" s="41" t="s">
        <v>341</v>
      </c>
      <c r="E92" s="42" t="s">
        <v>339</v>
      </c>
      <c r="F92" s="42" t="s">
        <v>343</v>
      </c>
      <c r="G92" s="42" t="s">
        <v>528</v>
      </c>
      <c r="H92" s="42" t="s">
        <v>342</v>
      </c>
      <c r="I92" s="42" t="s">
        <v>347</v>
      </c>
      <c r="J92" s="42" t="s">
        <v>348</v>
      </c>
      <c r="K92" s="42" t="s">
        <v>340</v>
      </c>
      <c r="L92" s="42" t="s">
        <v>346</v>
      </c>
      <c r="M92" s="43"/>
      <c r="N92" s="40"/>
      <c r="O92" s="17"/>
      <c r="P92" s="41" t="s">
        <v>526</v>
      </c>
      <c r="Q92" s="41" t="s">
        <v>341</v>
      </c>
      <c r="R92" s="42" t="s">
        <v>339</v>
      </c>
      <c r="S92" s="42" t="s">
        <v>343</v>
      </c>
      <c r="T92" s="42" t="s">
        <v>528</v>
      </c>
      <c r="U92" s="42" t="s">
        <v>342</v>
      </c>
      <c r="V92" s="42" t="s">
        <v>347</v>
      </c>
      <c r="W92" s="42" t="s">
        <v>348</v>
      </c>
      <c r="X92" s="42" t="s">
        <v>340</v>
      </c>
      <c r="Y92" s="42" t="s">
        <v>346</v>
      </c>
    </row>
    <row r="93" spans="1:25" x14ac:dyDescent="0.2">
      <c r="A93" s="44" t="s">
        <v>334</v>
      </c>
      <c r="B93" s="17"/>
      <c r="C93" s="17">
        <v>35.799999999999997</v>
      </c>
      <c r="D93" s="17">
        <v>27.4</v>
      </c>
      <c r="E93" s="17">
        <v>15.86</v>
      </c>
      <c r="F93" s="45">
        <v>12.46</v>
      </c>
      <c r="G93" s="45">
        <v>10.37</v>
      </c>
      <c r="H93" s="45">
        <v>0</v>
      </c>
      <c r="I93" s="45">
        <v>14.2</v>
      </c>
      <c r="J93" s="45">
        <v>0</v>
      </c>
      <c r="K93" s="45">
        <v>26.9</v>
      </c>
      <c r="L93" s="45">
        <v>0</v>
      </c>
      <c r="M93" s="43"/>
      <c r="N93" s="44" t="s">
        <v>334</v>
      </c>
      <c r="O93" s="17"/>
      <c r="P93" s="17">
        <v>1.26</v>
      </c>
      <c r="Q93" s="17">
        <v>1.04</v>
      </c>
      <c r="R93" s="17">
        <v>0.53</v>
      </c>
      <c r="S93" s="45">
        <v>0.45</v>
      </c>
      <c r="T93" s="45">
        <v>0</v>
      </c>
      <c r="U93" s="45">
        <v>0</v>
      </c>
      <c r="V93" s="45">
        <v>0</v>
      </c>
      <c r="W93" s="45">
        <v>0</v>
      </c>
      <c r="X93" s="45">
        <v>0</v>
      </c>
      <c r="Y93" s="45">
        <v>0.3</v>
      </c>
    </row>
    <row r="94" spans="1:25" x14ac:dyDescent="0.2">
      <c r="A94" s="44" t="s">
        <v>335</v>
      </c>
      <c r="B94" s="17"/>
      <c r="C94" s="17">
        <v>81</v>
      </c>
      <c r="D94" s="17">
        <v>46.6</v>
      </c>
      <c r="E94" s="17">
        <v>17.5</v>
      </c>
      <c r="F94" s="45">
        <v>0</v>
      </c>
      <c r="G94" s="45">
        <v>0</v>
      </c>
      <c r="H94" s="45">
        <v>0</v>
      </c>
      <c r="I94" s="45">
        <v>12.6</v>
      </c>
      <c r="J94" s="45">
        <v>10.47</v>
      </c>
      <c r="K94" s="45">
        <v>23.4</v>
      </c>
      <c r="L94" s="45">
        <v>12.84</v>
      </c>
      <c r="M94" s="43"/>
      <c r="N94" s="44" t="s">
        <v>335</v>
      </c>
      <c r="O94" s="17"/>
      <c r="P94" s="17">
        <v>2.96</v>
      </c>
      <c r="Q94" s="17">
        <v>1.75</v>
      </c>
      <c r="R94" s="17">
        <v>0.57999999999999996</v>
      </c>
      <c r="S94" s="45">
        <v>0.19</v>
      </c>
      <c r="T94" s="45">
        <v>0</v>
      </c>
      <c r="U94" s="45">
        <v>0.27</v>
      </c>
      <c r="V94" s="45">
        <v>0</v>
      </c>
      <c r="W94" s="45">
        <v>0.38</v>
      </c>
      <c r="X94" s="45">
        <v>0</v>
      </c>
      <c r="Y94" s="45">
        <v>0.43</v>
      </c>
    </row>
    <row r="95" spans="1:25" x14ac:dyDescent="0.2">
      <c r="A95" s="44" t="s">
        <v>336</v>
      </c>
      <c r="B95" s="17"/>
      <c r="C95" s="45">
        <v>78.02</v>
      </c>
      <c r="D95" s="45">
        <v>53.4</v>
      </c>
      <c r="E95" s="45">
        <v>12.63</v>
      </c>
      <c r="F95" s="45">
        <v>0</v>
      </c>
      <c r="G95" s="45">
        <v>15.84</v>
      </c>
      <c r="H95" s="45">
        <v>0</v>
      </c>
      <c r="I95" s="45">
        <v>22.01</v>
      </c>
      <c r="J95" s="45">
        <v>0</v>
      </c>
      <c r="K95" s="45">
        <v>19.3</v>
      </c>
      <c r="L95" s="45">
        <v>18.100000000000001</v>
      </c>
      <c r="M95" s="43"/>
      <c r="N95" s="44" t="s">
        <v>336</v>
      </c>
      <c r="O95" s="17"/>
      <c r="P95" s="45">
        <v>2.76</v>
      </c>
      <c r="Q95" s="45">
        <v>1.94</v>
      </c>
      <c r="R95" s="45">
        <v>0.4</v>
      </c>
      <c r="S95" s="45">
        <v>0</v>
      </c>
      <c r="T95" s="45">
        <v>0.24</v>
      </c>
      <c r="U95" s="45">
        <v>0</v>
      </c>
      <c r="V95" s="45">
        <v>0.38</v>
      </c>
      <c r="W95" s="45">
        <v>0.17</v>
      </c>
      <c r="X95" s="45">
        <v>0</v>
      </c>
      <c r="Y95" s="45">
        <v>0.62</v>
      </c>
    </row>
    <row r="96" spans="1:25" x14ac:dyDescent="0.2">
      <c r="A96" s="44" t="s">
        <v>337</v>
      </c>
      <c r="B96" s="17"/>
      <c r="C96" s="45">
        <v>14.7</v>
      </c>
      <c r="D96" s="45">
        <v>0</v>
      </c>
      <c r="E96" s="45">
        <v>17.100000000000001</v>
      </c>
      <c r="F96" s="45">
        <v>11.2</v>
      </c>
      <c r="G96" s="45">
        <v>9.14</v>
      </c>
      <c r="H96" s="45">
        <v>0</v>
      </c>
      <c r="I96" s="45">
        <v>8.5</v>
      </c>
      <c r="J96" s="45">
        <v>0</v>
      </c>
      <c r="K96" s="45">
        <v>28.8</v>
      </c>
      <c r="L96" s="45"/>
      <c r="M96" s="43"/>
      <c r="N96" s="44" t="s">
        <v>337</v>
      </c>
      <c r="O96" s="17"/>
      <c r="P96" s="45">
        <v>0.44</v>
      </c>
      <c r="Q96" s="45">
        <v>0.25</v>
      </c>
      <c r="R96" s="45">
        <v>0.55000000000000004</v>
      </c>
      <c r="S96" s="45">
        <v>0.42</v>
      </c>
      <c r="T96" s="45">
        <v>0.14000000000000001</v>
      </c>
      <c r="U96" s="45">
        <v>0</v>
      </c>
      <c r="V96" s="45">
        <v>0</v>
      </c>
      <c r="W96" s="45">
        <v>0.28000000000000003</v>
      </c>
      <c r="X96" s="45">
        <v>0</v>
      </c>
      <c r="Y96" s="45">
        <v>0.17</v>
      </c>
    </row>
    <row r="97" spans="1:25" x14ac:dyDescent="0.2">
      <c r="A97" s="46"/>
      <c r="B97" s="47"/>
      <c r="C97" s="47"/>
      <c r="D97" s="47"/>
      <c r="E97" s="47"/>
      <c r="F97" s="47"/>
      <c r="G97" s="47"/>
      <c r="H97" s="47"/>
      <c r="I97" s="47"/>
      <c r="J97" s="47"/>
      <c r="K97" s="47"/>
      <c r="L97" s="47"/>
      <c r="M97" s="48"/>
      <c r="N97" s="46"/>
      <c r="O97" s="47"/>
      <c r="P97" s="47"/>
      <c r="Q97" s="47"/>
      <c r="R97" s="47"/>
      <c r="S97" s="47"/>
      <c r="T97" s="47"/>
      <c r="U97" s="47"/>
      <c r="V97" s="47"/>
      <c r="W97" s="47"/>
      <c r="X97" s="47"/>
      <c r="Y97" s="47"/>
    </row>
    <row r="98" spans="1:25" x14ac:dyDescent="0.2">
      <c r="A98" t="s">
        <v>529</v>
      </c>
    </row>
    <row r="117" spans="1:25" x14ac:dyDescent="0.2">
      <c r="A117" s="3" t="s">
        <v>349</v>
      </c>
    </row>
    <row r="118" spans="1:25" x14ac:dyDescent="0.2">
      <c r="A118" s="39"/>
    </row>
    <row r="119" spans="1:25" x14ac:dyDescent="0.2">
      <c r="A119" s="104" t="s">
        <v>541</v>
      </c>
      <c r="B119" s="105"/>
      <c r="C119" s="106">
        <v>1</v>
      </c>
      <c r="D119" s="106">
        <v>2</v>
      </c>
      <c r="E119" s="106">
        <v>3</v>
      </c>
      <c r="F119" s="106">
        <v>4</v>
      </c>
      <c r="G119" s="106">
        <v>5</v>
      </c>
      <c r="H119" s="106">
        <v>6</v>
      </c>
      <c r="I119" s="106">
        <v>7</v>
      </c>
      <c r="J119" s="106">
        <v>8</v>
      </c>
      <c r="K119" s="106">
        <v>9</v>
      </c>
      <c r="L119" s="106">
        <v>10</v>
      </c>
      <c r="M119" s="107"/>
      <c r="N119" s="104" t="s">
        <v>201</v>
      </c>
      <c r="O119" s="108"/>
      <c r="P119" s="106">
        <v>1</v>
      </c>
      <c r="Q119" s="106">
        <v>2</v>
      </c>
      <c r="R119" s="106">
        <v>3</v>
      </c>
      <c r="S119" s="106">
        <v>4</v>
      </c>
      <c r="T119" s="106">
        <v>5</v>
      </c>
      <c r="U119" s="106">
        <v>6</v>
      </c>
      <c r="V119" s="106">
        <v>7</v>
      </c>
      <c r="W119" s="106">
        <v>8</v>
      </c>
      <c r="X119" s="106">
        <v>9</v>
      </c>
      <c r="Y119" s="106">
        <v>10</v>
      </c>
    </row>
    <row r="120" spans="1:25" x14ac:dyDescent="0.2">
      <c r="A120" s="40"/>
      <c r="B120" s="17"/>
      <c r="C120" s="41" t="s">
        <v>526</v>
      </c>
      <c r="D120" s="41" t="s">
        <v>341</v>
      </c>
      <c r="E120" s="42" t="s">
        <v>339</v>
      </c>
      <c r="F120" s="42" t="s">
        <v>343</v>
      </c>
      <c r="G120" s="42" t="s">
        <v>528</v>
      </c>
      <c r="H120" s="42" t="s">
        <v>350</v>
      </c>
      <c r="I120" s="42" t="s">
        <v>347</v>
      </c>
      <c r="J120" s="42" t="s">
        <v>348</v>
      </c>
      <c r="K120" s="42" t="s">
        <v>351</v>
      </c>
      <c r="L120" s="42" t="s">
        <v>346</v>
      </c>
      <c r="M120" s="43"/>
      <c r="N120" s="40"/>
      <c r="O120" s="17"/>
      <c r="P120" s="41" t="s">
        <v>526</v>
      </c>
      <c r="Q120" s="41" t="s">
        <v>341</v>
      </c>
      <c r="R120" s="42" t="s">
        <v>339</v>
      </c>
      <c r="S120" s="42" t="s">
        <v>343</v>
      </c>
      <c r="T120" s="42" t="s">
        <v>528</v>
      </c>
      <c r="U120" s="42" t="s">
        <v>350</v>
      </c>
      <c r="V120" s="42" t="s">
        <v>347</v>
      </c>
      <c r="W120" s="42" t="s">
        <v>348</v>
      </c>
      <c r="X120" s="42" t="s">
        <v>351</v>
      </c>
      <c r="Y120" s="42" t="s">
        <v>346</v>
      </c>
    </row>
    <row r="121" spans="1:25" x14ac:dyDescent="0.2">
      <c r="A121" s="44" t="s">
        <v>334</v>
      </c>
      <c r="B121" s="17"/>
      <c r="C121" s="17">
        <v>187.7</v>
      </c>
      <c r="D121" s="17">
        <v>160.69999999999999</v>
      </c>
      <c r="E121" s="17">
        <v>0</v>
      </c>
      <c r="F121" s="45">
        <v>0</v>
      </c>
      <c r="G121" s="45">
        <v>26.8</v>
      </c>
      <c r="H121" s="45">
        <v>24.2</v>
      </c>
      <c r="I121" s="45">
        <v>28.2</v>
      </c>
      <c r="J121" s="45">
        <v>17.7</v>
      </c>
      <c r="K121" s="45">
        <v>28.8</v>
      </c>
      <c r="L121" s="45">
        <v>0</v>
      </c>
      <c r="M121" s="43"/>
      <c r="N121" s="44" t="s">
        <v>334</v>
      </c>
      <c r="O121" s="17"/>
      <c r="P121" s="17">
        <v>19.899999999999999</v>
      </c>
      <c r="Q121" s="17">
        <v>16.899999999999999</v>
      </c>
      <c r="R121" s="17">
        <v>1.07</v>
      </c>
      <c r="S121" s="45">
        <v>0.84</v>
      </c>
      <c r="T121" s="45">
        <v>1.57</v>
      </c>
      <c r="U121" s="45">
        <v>0</v>
      </c>
      <c r="V121" s="45">
        <v>1.22</v>
      </c>
      <c r="W121" s="45">
        <v>1.39</v>
      </c>
      <c r="X121" s="45">
        <v>0</v>
      </c>
      <c r="Y121" s="45">
        <v>0</v>
      </c>
    </row>
    <row r="122" spans="1:25" x14ac:dyDescent="0.2">
      <c r="A122" s="44" t="s">
        <v>335</v>
      </c>
      <c r="B122" s="17"/>
      <c r="C122" s="17">
        <v>356.2</v>
      </c>
      <c r="D122" s="17">
        <v>261.39999999999998</v>
      </c>
      <c r="E122" s="17">
        <v>0</v>
      </c>
      <c r="F122" s="45">
        <v>0</v>
      </c>
      <c r="G122" s="45">
        <v>19.5</v>
      </c>
      <c r="H122" s="45">
        <v>20.6</v>
      </c>
      <c r="I122" s="45">
        <v>19.899999999999999</v>
      </c>
      <c r="J122" s="45">
        <v>15.7</v>
      </c>
      <c r="K122" s="45">
        <v>13.9</v>
      </c>
      <c r="L122" s="45">
        <v>0</v>
      </c>
      <c r="M122" s="43"/>
      <c r="N122" s="44" t="s">
        <v>335</v>
      </c>
      <c r="O122" s="17"/>
      <c r="P122" s="17">
        <v>35.4</v>
      </c>
      <c r="Q122" s="17">
        <v>21.5</v>
      </c>
      <c r="R122" s="17">
        <v>0.88</v>
      </c>
      <c r="S122" s="45">
        <v>0.5</v>
      </c>
      <c r="T122" s="45">
        <v>1.04</v>
      </c>
      <c r="U122" s="45">
        <v>0</v>
      </c>
      <c r="V122" s="45">
        <v>0.33</v>
      </c>
      <c r="W122" s="45">
        <v>1.27</v>
      </c>
      <c r="X122" s="45">
        <v>0</v>
      </c>
      <c r="Y122" s="45">
        <v>0</v>
      </c>
    </row>
    <row r="123" spans="1:25" x14ac:dyDescent="0.2">
      <c r="A123" s="44" t="s">
        <v>336</v>
      </c>
      <c r="B123" s="17"/>
      <c r="C123" s="45">
        <v>331.8</v>
      </c>
      <c r="D123" s="45">
        <v>181.3</v>
      </c>
      <c r="E123" s="45">
        <v>0</v>
      </c>
      <c r="F123" s="45">
        <v>0</v>
      </c>
      <c r="G123" s="45">
        <v>40.46</v>
      </c>
      <c r="H123" s="45">
        <v>17.2</v>
      </c>
      <c r="I123" s="45">
        <v>31.2</v>
      </c>
      <c r="J123" s="45">
        <v>0</v>
      </c>
      <c r="K123" s="45">
        <v>0</v>
      </c>
      <c r="L123" s="45">
        <v>17.3</v>
      </c>
      <c r="M123" s="43"/>
      <c r="N123" s="44" t="s">
        <v>336</v>
      </c>
      <c r="O123" s="17"/>
      <c r="P123" s="45">
        <v>31.7</v>
      </c>
      <c r="Q123" s="45">
        <v>17.190000000000001</v>
      </c>
      <c r="R123" s="45">
        <v>0.54</v>
      </c>
      <c r="S123" s="45">
        <v>0</v>
      </c>
      <c r="T123" s="45">
        <v>2.23</v>
      </c>
      <c r="U123" s="45">
        <v>0</v>
      </c>
      <c r="V123" s="45">
        <v>1.01</v>
      </c>
      <c r="W123" s="45">
        <v>0</v>
      </c>
      <c r="X123" s="45">
        <v>0</v>
      </c>
      <c r="Y123" s="45">
        <v>1.4</v>
      </c>
    </row>
    <row r="124" spans="1:25" x14ac:dyDescent="0.2">
      <c r="A124" s="44" t="s">
        <v>337</v>
      </c>
      <c r="B124" s="17"/>
      <c r="C124" s="45">
        <v>85.2</v>
      </c>
      <c r="D124" s="45">
        <v>59.7</v>
      </c>
      <c r="E124" s="45">
        <v>0</v>
      </c>
      <c r="F124" s="45">
        <v>0</v>
      </c>
      <c r="G124" s="45">
        <v>26.4</v>
      </c>
      <c r="H124" s="45">
        <v>46.03</v>
      </c>
      <c r="I124" s="45">
        <v>22.3</v>
      </c>
      <c r="J124" s="45">
        <v>0</v>
      </c>
      <c r="K124" s="45">
        <v>30.6</v>
      </c>
      <c r="L124" s="45">
        <v>0</v>
      </c>
      <c r="M124" s="43"/>
      <c r="N124" s="44" t="s">
        <v>337</v>
      </c>
      <c r="O124" s="17"/>
      <c r="P124" s="45">
        <v>10.7</v>
      </c>
      <c r="Q124" s="45">
        <v>7.4</v>
      </c>
      <c r="R124" s="45">
        <v>1.45</v>
      </c>
      <c r="S124" s="45">
        <v>0</v>
      </c>
      <c r="T124" s="45">
        <v>2.0499999999999998</v>
      </c>
      <c r="U124" s="45">
        <v>3.11</v>
      </c>
      <c r="V124" s="45">
        <v>1.53</v>
      </c>
      <c r="W124" s="45">
        <v>1.67</v>
      </c>
      <c r="X124" s="45">
        <v>0</v>
      </c>
      <c r="Y124" s="45">
        <v>0</v>
      </c>
    </row>
    <row r="125" spans="1:25" x14ac:dyDescent="0.2">
      <c r="A125" s="46"/>
      <c r="B125" s="47"/>
      <c r="C125" s="47"/>
      <c r="D125" s="47"/>
      <c r="E125" s="47"/>
      <c r="F125" s="47"/>
      <c r="G125" s="47"/>
      <c r="H125" s="47"/>
      <c r="I125" s="47"/>
      <c r="J125" s="47"/>
      <c r="K125" s="47"/>
      <c r="L125" s="47"/>
      <c r="M125" s="48"/>
      <c r="N125" s="46"/>
      <c r="O125" s="47"/>
      <c r="P125" s="47"/>
      <c r="Q125" s="47"/>
      <c r="R125" s="47"/>
      <c r="S125" s="47"/>
      <c r="T125" s="47"/>
      <c r="U125" s="47"/>
      <c r="V125" s="47"/>
      <c r="W125" s="47"/>
      <c r="X125" s="47"/>
      <c r="Y125" s="47"/>
    </row>
    <row r="126" spans="1:25" x14ac:dyDescent="0.2">
      <c r="A126" s="44" t="s">
        <v>529</v>
      </c>
    </row>
    <row r="145" spans="1:6" s="181" customFormat="1" x14ac:dyDescent="0.2"/>
    <row r="146" spans="1:6" s="181" customFormat="1" x14ac:dyDescent="0.2">
      <c r="A146" s="181" t="s">
        <v>557</v>
      </c>
    </row>
    <row r="147" spans="1:6" x14ac:dyDescent="0.2">
      <c r="A147" t="s">
        <v>558</v>
      </c>
    </row>
    <row r="148" spans="1:6" x14ac:dyDescent="0.2">
      <c r="A148" s="23" t="s">
        <v>531</v>
      </c>
    </row>
    <row r="149" spans="1:6" s="181" customFormat="1" x14ac:dyDescent="0.2">
      <c r="A149" s="39" t="s">
        <v>532</v>
      </c>
      <c r="B149" s="39"/>
      <c r="C149" s="39"/>
      <c r="D149" s="39"/>
      <c r="E149" s="39"/>
      <c r="F149" s="39"/>
    </row>
    <row r="150" spans="1:6" x14ac:dyDescent="0.2">
      <c r="A150" s="39"/>
    </row>
  </sheetData>
  <phoneticPr fontId="7" type="noConversion"/>
  <hyperlinks>
    <hyperlink ref="A148" r:id="rId1"/>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topLeftCell="A28" zoomScaleNormal="70" zoomScalePageLayoutView="70" workbookViewId="0">
      <selection activeCell="D70" sqref="D70"/>
    </sheetView>
  </sheetViews>
  <sheetFormatPr baseColWidth="10" defaultColWidth="9.1640625" defaultRowHeight="15" x14ac:dyDescent="0.2"/>
  <sheetData>
    <row r="1" spans="1:3" x14ac:dyDescent="0.2">
      <c r="A1" s="3" t="s">
        <v>530</v>
      </c>
    </row>
    <row r="4" spans="1:3" x14ac:dyDescent="0.2">
      <c r="A4" t="s">
        <v>302</v>
      </c>
      <c r="B4" t="s">
        <v>88</v>
      </c>
      <c r="C4" t="s">
        <v>303</v>
      </c>
    </row>
    <row r="5" spans="1:3" x14ac:dyDescent="0.2">
      <c r="A5">
        <v>125</v>
      </c>
      <c r="B5" t="s">
        <v>41</v>
      </c>
      <c r="C5">
        <v>0.61829999999999996</v>
      </c>
    </row>
    <row r="6" spans="1:3" x14ac:dyDescent="0.2">
      <c r="A6">
        <v>103</v>
      </c>
      <c r="B6" t="s">
        <v>98</v>
      </c>
      <c r="C6">
        <v>0.66220000000000001</v>
      </c>
    </row>
    <row r="7" spans="1:3" x14ac:dyDescent="0.2">
      <c r="A7">
        <v>102</v>
      </c>
      <c r="B7" t="s">
        <v>40</v>
      </c>
      <c r="C7">
        <v>0.66539999999999999</v>
      </c>
    </row>
    <row r="8" spans="1:3" x14ac:dyDescent="0.2">
      <c r="A8">
        <v>99</v>
      </c>
      <c r="B8" t="s">
        <v>122</v>
      </c>
      <c r="C8">
        <v>0.67069999999999996</v>
      </c>
    </row>
    <row r="9" spans="1:3" x14ac:dyDescent="0.2">
      <c r="A9">
        <v>96</v>
      </c>
      <c r="B9" t="s">
        <v>107</v>
      </c>
      <c r="C9">
        <v>0.67369999999999997</v>
      </c>
    </row>
    <row r="10" spans="1:3" x14ac:dyDescent="0.2">
      <c r="A10">
        <v>95</v>
      </c>
      <c r="B10" t="s">
        <v>106</v>
      </c>
      <c r="C10">
        <v>0.67410000000000003</v>
      </c>
    </row>
    <row r="11" spans="1:3" x14ac:dyDescent="0.2">
      <c r="A11">
        <v>94</v>
      </c>
      <c r="B11" t="s">
        <v>100</v>
      </c>
      <c r="C11">
        <v>0.67530000000000001</v>
      </c>
    </row>
    <row r="12" spans="1:3" x14ac:dyDescent="0.2">
      <c r="A12">
        <v>93</v>
      </c>
      <c r="B12" t="s">
        <v>113</v>
      </c>
      <c r="C12">
        <v>0.67589999999999995</v>
      </c>
    </row>
    <row r="13" spans="1:3" x14ac:dyDescent="0.2">
      <c r="A13">
        <v>91</v>
      </c>
      <c r="B13" t="s">
        <v>32</v>
      </c>
      <c r="C13">
        <v>0.6784</v>
      </c>
    </row>
    <row r="14" spans="1:3" x14ac:dyDescent="0.2">
      <c r="A14">
        <v>90</v>
      </c>
      <c r="B14" t="s">
        <v>35</v>
      </c>
      <c r="C14">
        <v>0.68059999999999998</v>
      </c>
    </row>
    <row r="15" spans="1:3" x14ac:dyDescent="0.2">
      <c r="A15">
        <v>85</v>
      </c>
      <c r="B15" t="s">
        <v>94</v>
      </c>
      <c r="C15">
        <v>0.6855</v>
      </c>
    </row>
    <row r="16" spans="1:3" x14ac:dyDescent="0.2">
      <c r="A16">
        <v>83</v>
      </c>
      <c r="B16" t="s">
        <v>97</v>
      </c>
      <c r="C16">
        <v>0.68689999999999996</v>
      </c>
    </row>
    <row r="17" spans="1:3" x14ac:dyDescent="0.2">
      <c r="A17">
        <v>75</v>
      </c>
      <c r="B17" t="s">
        <v>130</v>
      </c>
      <c r="C17">
        <v>0.69269999999999998</v>
      </c>
    </row>
    <row r="18" spans="1:3" x14ac:dyDescent="0.2">
      <c r="A18">
        <v>74</v>
      </c>
      <c r="B18" t="s">
        <v>123</v>
      </c>
      <c r="C18">
        <v>0.69340000000000002</v>
      </c>
    </row>
    <row r="19" spans="1:3" x14ac:dyDescent="0.2">
      <c r="A19">
        <v>72</v>
      </c>
      <c r="B19" t="s">
        <v>129</v>
      </c>
      <c r="C19">
        <v>0.69359999999999999</v>
      </c>
    </row>
    <row r="20" spans="1:3" x14ac:dyDescent="0.2">
      <c r="A20">
        <v>70</v>
      </c>
      <c r="B20" t="s">
        <v>512</v>
      </c>
      <c r="C20">
        <v>0.69430000000000003</v>
      </c>
    </row>
    <row r="21" spans="1:3" x14ac:dyDescent="0.2">
      <c r="A21">
        <v>69</v>
      </c>
      <c r="B21" t="s">
        <v>117</v>
      </c>
      <c r="C21">
        <v>0.69730000000000003</v>
      </c>
    </row>
    <row r="22" spans="1:3" x14ac:dyDescent="0.2">
      <c r="A22">
        <v>67</v>
      </c>
      <c r="B22" t="s">
        <v>22</v>
      </c>
      <c r="C22">
        <v>0.69740000000000002</v>
      </c>
    </row>
    <row r="23" spans="1:3" x14ac:dyDescent="0.2">
      <c r="A23">
        <v>65</v>
      </c>
      <c r="B23" t="s">
        <v>116</v>
      </c>
      <c r="C23">
        <v>0.70050000000000001</v>
      </c>
    </row>
    <row r="24" spans="1:3" x14ac:dyDescent="0.2">
      <c r="A24">
        <v>62</v>
      </c>
      <c r="B24" t="s">
        <v>109</v>
      </c>
      <c r="C24">
        <v>0.70169999999999999</v>
      </c>
    </row>
    <row r="25" spans="1:3" x14ac:dyDescent="0.2">
      <c r="A25">
        <v>57</v>
      </c>
      <c r="B25" t="s">
        <v>126</v>
      </c>
      <c r="C25">
        <v>0.70509999999999995</v>
      </c>
    </row>
    <row r="26" spans="1:3" x14ac:dyDescent="0.2">
      <c r="A26">
        <v>56</v>
      </c>
      <c r="B26" t="s">
        <v>42</v>
      </c>
      <c r="C26">
        <v>0.7056</v>
      </c>
    </row>
    <row r="27" spans="1:3" x14ac:dyDescent="0.2">
      <c r="A27">
        <v>55</v>
      </c>
      <c r="B27" t="s">
        <v>81</v>
      </c>
      <c r="C27">
        <v>0.70750000000000002</v>
      </c>
    </row>
    <row r="28" spans="1:3" x14ac:dyDescent="0.2">
      <c r="A28">
        <v>54</v>
      </c>
      <c r="B28" t="s">
        <v>34</v>
      </c>
      <c r="C28">
        <v>0.70860000000000001</v>
      </c>
    </row>
    <row r="29" spans="1:3" x14ac:dyDescent="0.2">
      <c r="A29">
        <v>44</v>
      </c>
      <c r="B29" t="s">
        <v>120</v>
      </c>
      <c r="C29">
        <v>0.7208</v>
      </c>
    </row>
    <row r="30" spans="1:3" x14ac:dyDescent="0.2">
      <c r="A30">
        <v>43</v>
      </c>
      <c r="B30" t="s">
        <v>118</v>
      </c>
      <c r="C30">
        <v>0.72099999999999997</v>
      </c>
    </row>
    <row r="31" spans="1:3" x14ac:dyDescent="0.2">
      <c r="A31">
        <v>39</v>
      </c>
      <c r="B31" t="s">
        <v>127</v>
      </c>
      <c r="C31">
        <v>0.72430000000000005</v>
      </c>
    </row>
    <row r="32" spans="1:3" x14ac:dyDescent="0.2">
      <c r="A32">
        <v>36</v>
      </c>
      <c r="B32" t="s">
        <v>99</v>
      </c>
      <c r="C32">
        <v>0.72660000000000002</v>
      </c>
    </row>
    <row r="33" spans="1:3" x14ac:dyDescent="0.2">
      <c r="A33">
        <v>32</v>
      </c>
      <c r="B33" t="s">
        <v>92</v>
      </c>
      <c r="C33">
        <v>0.73</v>
      </c>
    </row>
    <row r="34" spans="1:3" x14ac:dyDescent="0.2">
      <c r="A34">
        <v>29</v>
      </c>
      <c r="B34" t="s">
        <v>37</v>
      </c>
      <c r="C34">
        <v>0.73250000000000004</v>
      </c>
    </row>
    <row r="35" spans="1:3" x14ac:dyDescent="0.2">
      <c r="A35">
        <v>28</v>
      </c>
      <c r="B35" t="s">
        <v>121</v>
      </c>
      <c r="C35">
        <v>0.73329999999999995</v>
      </c>
    </row>
    <row r="36" spans="1:3" x14ac:dyDescent="0.2">
      <c r="A36">
        <v>26</v>
      </c>
      <c r="B36" t="s">
        <v>95</v>
      </c>
      <c r="C36">
        <v>0.73829999999999996</v>
      </c>
    </row>
    <row r="37" spans="1:3" x14ac:dyDescent="0.2">
      <c r="A37">
        <v>25</v>
      </c>
      <c r="B37" t="s">
        <v>128</v>
      </c>
      <c r="C37">
        <v>0.74050000000000005</v>
      </c>
    </row>
    <row r="38" spans="1:3" x14ac:dyDescent="0.2">
      <c r="A38">
        <v>23</v>
      </c>
      <c r="B38" t="s">
        <v>36</v>
      </c>
      <c r="C38">
        <v>0.74429999999999996</v>
      </c>
    </row>
    <row r="39" spans="1:3" x14ac:dyDescent="0.2">
      <c r="A39">
        <v>22</v>
      </c>
      <c r="B39" t="s">
        <v>104</v>
      </c>
      <c r="C39">
        <v>0.74439999999999995</v>
      </c>
    </row>
    <row r="40" spans="1:3" x14ac:dyDescent="0.2">
      <c r="A40">
        <v>16</v>
      </c>
      <c r="B40" t="s">
        <v>111</v>
      </c>
      <c r="C40">
        <v>0.75880000000000003</v>
      </c>
    </row>
    <row r="41" spans="1:3" x14ac:dyDescent="0.2">
      <c r="A41">
        <v>15</v>
      </c>
      <c r="B41" t="s">
        <v>119</v>
      </c>
      <c r="C41">
        <v>0.76910000000000001</v>
      </c>
    </row>
    <row r="42" spans="1:3" x14ac:dyDescent="0.2">
      <c r="A42">
        <v>14</v>
      </c>
      <c r="B42" t="s">
        <v>124</v>
      </c>
      <c r="C42">
        <v>0.77300000000000002</v>
      </c>
    </row>
    <row r="43" spans="1:3" x14ac:dyDescent="0.2">
      <c r="A43">
        <v>12</v>
      </c>
      <c r="B43" t="s">
        <v>82</v>
      </c>
      <c r="C43">
        <v>0.77800000000000002</v>
      </c>
    </row>
    <row r="44" spans="1:3" x14ac:dyDescent="0.2">
      <c r="A44">
        <v>11</v>
      </c>
      <c r="B44" t="s">
        <v>39</v>
      </c>
      <c r="C44">
        <v>0.77980000000000005</v>
      </c>
    </row>
    <row r="45" spans="1:3" x14ac:dyDescent="0.2">
      <c r="A45">
        <v>10</v>
      </c>
      <c r="B45" t="s">
        <v>102</v>
      </c>
      <c r="C45">
        <v>0.78090000000000004</v>
      </c>
    </row>
    <row r="46" spans="1:3" x14ac:dyDescent="0.2">
      <c r="A46">
        <v>8</v>
      </c>
      <c r="B46" t="s">
        <v>115</v>
      </c>
      <c r="C46">
        <v>0.78500000000000003</v>
      </c>
    </row>
    <row r="47" spans="1:3" x14ac:dyDescent="0.2">
      <c r="A47">
        <v>5</v>
      </c>
      <c r="B47" t="s">
        <v>108</v>
      </c>
      <c r="C47">
        <v>0.80249999999999999</v>
      </c>
    </row>
    <row r="48" spans="1:3" x14ac:dyDescent="0.2">
      <c r="A48">
        <v>4</v>
      </c>
      <c r="B48" t="s">
        <v>38</v>
      </c>
      <c r="C48">
        <v>0.8165</v>
      </c>
    </row>
    <row r="49" spans="1:14" x14ac:dyDescent="0.2">
      <c r="A49">
        <v>3</v>
      </c>
      <c r="B49" t="s">
        <v>125</v>
      </c>
      <c r="C49">
        <v>0.83740000000000003</v>
      </c>
    </row>
    <row r="50" spans="1:14" x14ac:dyDescent="0.2">
      <c r="A50">
        <v>2</v>
      </c>
      <c r="B50" t="s">
        <v>110</v>
      </c>
      <c r="C50">
        <v>0.84530000000000005</v>
      </c>
    </row>
    <row r="51" spans="1:14" x14ac:dyDescent="0.2">
      <c r="A51">
        <v>1</v>
      </c>
      <c r="B51" t="s">
        <v>114</v>
      </c>
      <c r="C51">
        <v>0.85940000000000005</v>
      </c>
    </row>
    <row r="53" spans="1:14" ht="15" customHeight="1" x14ac:dyDescent="0.2">
      <c r="F53" s="202" t="s">
        <v>542</v>
      </c>
      <c r="G53" s="203"/>
      <c r="H53" s="203"/>
      <c r="I53" s="203"/>
      <c r="J53" s="203"/>
      <c r="K53" s="203"/>
      <c r="L53" s="203"/>
      <c r="M53" s="204"/>
    </row>
    <row r="54" spans="1:14" x14ac:dyDescent="0.2">
      <c r="F54" s="205"/>
      <c r="G54" s="197"/>
      <c r="H54" s="197"/>
      <c r="I54" s="197"/>
      <c r="J54" s="197"/>
      <c r="K54" s="197"/>
      <c r="L54" s="197"/>
      <c r="M54" s="206"/>
      <c r="N54" s="17"/>
    </row>
    <row r="55" spans="1:14" x14ac:dyDescent="0.2">
      <c r="F55" s="205"/>
      <c r="G55" s="197"/>
      <c r="H55" s="197"/>
      <c r="I55" s="197"/>
      <c r="J55" s="197"/>
      <c r="K55" s="197"/>
      <c r="L55" s="197"/>
      <c r="M55" s="206"/>
    </row>
    <row r="56" spans="1:14" x14ac:dyDescent="0.2">
      <c r="F56" s="205"/>
      <c r="G56" s="197"/>
      <c r="H56" s="197"/>
      <c r="I56" s="197"/>
      <c r="J56" s="197"/>
      <c r="K56" s="197"/>
      <c r="L56" s="197"/>
      <c r="M56" s="206"/>
    </row>
    <row r="57" spans="1:14" x14ac:dyDescent="0.2">
      <c r="F57" s="207"/>
      <c r="G57" s="208"/>
      <c r="H57" s="208"/>
      <c r="I57" s="208"/>
      <c r="J57" s="208"/>
      <c r="K57" s="208"/>
      <c r="L57" s="208"/>
      <c r="M57" s="209"/>
    </row>
    <row r="59" spans="1:14" x14ac:dyDescent="0.2">
      <c r="A59" s="103" t="s">
        <v>559</v>
      </c>
    </row>
    <row r="60" spans="1:14" x14ac:dyDescent="0.2">
      <c r="A60" t="s">
        <v>560</v>
      </c>
    </row>
    <row r="61" spans="1:14" x14ac:dyDescent="0.2">
      <c r="A61" s="181" t="s">
        <v>545</v>
      </c>
    </row>
  </sheetData>
  <mergeCells count="1">
    <mergeCell ref="F53:M57"/>
  </mergeCells>
  <phoneticPr fontId="7" type="noConversion"/>
  <pageMargins left="0.7" right="0.7" top="0.75" bottom="0.75" header="0.3" footer="0.3"/>
  <pageSetup paperSize="9"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V89"/>
  <sheetViews>
    <sheetView showGridLines="0" topLeftCell="A48" workbookViewId="0">
      <selection activeCell="D20" sqref="D20:E20"/>
    </sheetView>
  </sheetViews>
  <sheetFormatPr baseColWidth="10" defaultColWidth="11.5" defaultRowHeight="15" x14ac:dyDescent="0.2"/>
  <cols>
    <col min="1" max="1" width="22" customWidth="1"/>
    <col min="2" max="2" width="15.1640625" customWidth="1"/>
    <col min="3" max="3" width="4.1640625" hidden="1" customWidth="1"/>
    <col min="4" max="4" width="68.1640625" customWidth="1"/>
    <col min="5" max="5" width="7.6640625" customWidth="1"/>
    <col min="7" max="7" width="4.1640625" customWidth="1"/>
    <col min="8" max="8" width="1.5" customWidth="1"/>
    <col min="9" max="9" width="4.1640625" customWidth="1"/>
    <col min="11" max="11" width="4.1640625" customWidth="1"/>
    <col min="13" max="13" width="4.1640625" customWidth="1"/>
    <col min="15" max="15" width="4.1640625" customWidth="1"/>
    <col min="17" max="17" width="4.1640625" customWidth="1"/>
    <col min="19" max="19" width="4.1640625" customWidth="1"/>
    <col min="20" max="20" width="2.1640625" customWidth="1"/>
    <col min="21" max="21" width="4.1640625" customWidth="1"/>
    <col min="22" max="22" width="1.33203125" customWidth="1"/>
  </cols>
  <sheetData>
    <row r="7" spans="1:1" ht="24" x14ac:dyDescent="0.3">
      <c r="A7" s="121" t="s">
        <v>407</v>
      </c>
    </row>
    <row r="10" spans="1:1" x14ac:dyDescent="0.2">
      <c r="A10" s="122" t="s">
        <v>408</v>
      </c>
    </row>
    <row r="12" spans="1:1" ht="24" x14ac:dyDescent="0.3">
      <c r="A12" s="121" t="s">
        <v>409</v>
      </c>
    </row>
    <row r="14" spans="1:1" x14ac:dyDescent="0.2">
      <c r="A14" s="122" t="s">
        <v>395</v>
      </c>
    </row>
    <row r="16" spans="1:1" x14ac:dyDescent="0.2">
      <c r="A16" s="123" t="s">
        <v>396</v>
      </c>
    </row>
    <row r="18" spans="1:5" x14ac:dyDescent="0.2">
      <c r="A18" s="122" t="s">
        <v>410</v>
      </c>
    </row>
    <row r="20" spans="1:5" x14ac:dyDescent="0.2">
      <c r="A20" s="124" t="s">
        <v>88</v>
      </c>
      <c r="B20" s="210" t="s">
        <v>411</v>
      </c>
      <c r="C20" s="210"/>
      <c r="D20" s="210" t="s">
        <v>412</v>
      </c>
      <c r="E20" s="210"/>
    </row>
    <row r="21" spans="1:5" x14ac:dyDescent="0.2">
      <c r="A21" s="125" t="s">
        <v>40</v>
      </c>
      <c r="B21" s="126">
        <v>10.4</v>
      </c>
      <c r="C21" s="114"/>
      <c r="D21" s="114"/>
    </row>
    <row r="22" spans="1:5" x14ac:dyDescent="0.2">
      <c r="A22" s="125" t="s">
        <v>155</v>
      </c>
      <c r="B22" s="126">
        <v>11.3</v>
      </c>
      <c r="C22" s="114"/>
      <c r="D22" s="114"/>
    </row>
    <row r="23" spans="1:5" x14ac:dyDescent="0.2">
      <c r="A23" s="125" t="s">
        <v>100</v>
      </c>
      <c r="B23" s="126">
        <v>11.6</v>
      </c>
      <c r="C23" s="114"/>
      <c r="D23" s="114"/>
    </row>
    <row r="24" spans="1:5" x14ac:dyDescent="0.2">
      <c r="A24" s="125" t="s">
        <v>151</v>
      </c>
      <c r="B24" s="126">
        <v>12.2</v>
      </c>
      <c r="C24" s="114"/>
      <c r="D24" s="114"/>
    </row>
    <row r="25" spans="1:5" ht="16" customHeight="1" x14ac:dyDescent="0.2">
      <c r="A25" s="125" t="s">
        <v>22</v>
      </c>
      <c r="B25" s="126">
        <v>12.7</v>
      </c>
      <c r="C25" s="114"/>
      <c r="D25" s="114"/>
    </row>
    <row r="26" spans="1:5" x14ac:dyDescent="0.2">
      <c r="A26" s="125" t="s">
        <v>94</v>
      </c>
      <c r="B26" s="126">
        <v>12.8</v>
      </c>
      <c r="C26" s="114"/>
      <c r="D26" s="114" t="s">
        <v>413</v>
      </c>
    </row>
    <row r="27" spans="1:5" x14ac:dyDescent="0.2">
      <c r="A27" s="125" t="s">
        <v>414</v>
      </c>
      <c r="B27" s="126">
        <v>13.4</v>
      </c>
      <c r="C27" s="114"/>
      <c r="D27" s="114" t="s">
        <v>415</v>
      </c>
    </row>
    <row r="28" spans="1:5" x14ac:dyDescent="0.2">
      <c r="A28" s="125" t="s">
        <v>98</v>
      </c>
      <c r="B28" s="126">
        <v>13.6</v>
      </c>
      <c r="C28" s="114"/>
      <c r="D28" s="114" t="s">
        <v>446</v>
      </c>
    </row>
    <row r="29" spans="1:5" x14ac:dyDescent="0.2">
      <c r="A29" s="125" t="s">
        <v>447</v>
      </c>
      <c r="B29" s="126">
        <v>13.8</v>
      </c>
      <c r="C29" s="114"/>
      <c r="D29" s="114"/>
    </row>
    <row r="30" spans="1:5" x14ac:dyDescent="0.2">
      <c r="A30" s="125" t="s">
        <v>41</v>
      </c>
      <c r="B30" s="126">
        <v>13.8</v>
      </c>
      <c r="C30" s="114"/>
      <c r="D30" s="114"/>
    </row>
    <row r="31" spans="1:5" x14ac:dyDescent="0.2">
      <c r="A31" s="125" t="s">
        <v>106</v>
      </c>
      <c r="B31" s="126">
        <v>14</v>
      </c>
      <c r="C31" s="114"/>
      <c r="D31" s="114"/>
    </row>
    <row r="32" spans="1:5" x14ac:dyDescent="0.2">
      <c r="A32" s="125" t="s">
        <v>121</v>
      </c>
      <c r="B32" s="126">
        <v>14</v>
      </c>
      <c r="C32" s="114"/>
      <c r="D32" s="114" t="s">
        <v>415</v>
      </c>
    </row>
    <row r="33" spans="1:4" x14ac:dyDescent="0.2">
      <c r="A33" s="125" t="s">
        <v>34</v>
      </c>
      <c r="B33" s="126">
        <v>14</v>
      </c>
      <c r="C33" s="114"/>
      <c r="D33" s="114"/>
    </row>
    <row r="34" spans="1:4" x14ac:dyDescent="0.2">
      <c r="A34" s="125" t="s">
        <v>104</v>
      </c>
      <c r="B34" s="126">
        <v>14.5</v>
      </c>
      <c r="C34" s="114"/>
      <c r="D34" s="114"/>
    </row>
    <row r="35" spans="1:4" x14ac:dyDescent="0.2">
      <c r="A35" s="125" t="s">
        <v>129</v>
      </c>
      <c r="B35" s="126">
        <v>14.5</v>
      </c>
      <c r="C35" s="114"/>
      <c r="D35" s="114"/>
    </row>
    <row r="36" spans="1:4" x14ac:dyDescent="0.2">
      <c r="A36" s="125" t="s">
        <v>130</v>
      </c>
      <c r="B36" s="126">
        <v>14.5</v>
      </c>
      <c r="C36" s="114"/>
      <c r="D36" s="114" t="s">
        <v>446</v>
      </c>
    </row>
    <row r="37" spans="1:4" x14ac:dyDescent="0.2">
      <c r="A37" s="125" t="s">
        <v>122</v>
      </c>
      <c r="B37" s="126">
        <v>14.7</v>
      </c>
      <c r="C37" s="114"/>
      <c r="D37" s="114"/>
    </row>
    <row r="38" spans="1:4" x14ac:dyDescent="0.2">
      <c r="A38" s="125" t="s">
        <v>42</v>
      </c>
      <c r="B38" s="126">
        <v>15.1</v>
      </c>
      <c r="C38" s="114"/>
      <c r="D38" s="114"/>
    </row>
    <row r="39" spans="1:4" x14ac:dyDescent="0.2">
      <c r="A39" s="125" t="s">
        <v>81</v>
      </c>
      <c r="B39" s="126">
        <v>15.2</v>
      </c>
      <c r="C39" s="114"/>
      <c r="D39" s="114"/>
    </row>
    <row r="40" spans="1:4" x14ac:dyDescent="0.2">
      <c r="A40" s="125" t="s">
        <v>118</v>
      </c>
      <c r="B40" s="126">
        <v>15.3</v>
      </c>
      <c r="C40" s="114"/>
      <c r="D40" s="114"/>
    </row>
    <row r="41" spans="1:4" x14ac:dyDescent="0.2">
      <c r="A41" s="125" t="s">
        <v>123</v>
      </c>
      <c r="B41" s="126">
        <v>15.5</v>
      </c>
      <c r="C41" s="114"/>
      <c r="D41" s="114" t="s">
        <v>415</v>
      </c>
    </row>
    <row r="42" spans="1:4" x14ac:dyDescent="0.2">
      <c r="A42" s="125" t="s">
        <v>35</v>
      </c>
      <c r="B42" s="126">
        <v>15.6</v>
      </c>
      <c r="C42" s="114"/>
      <c r="D42" s="114"/>
    </row>
    <row r="43" spans="1:4" x14ac:dyDescent="0.2">
      <c r="A43" s="125" t="s">
        <v>39</v>
      </c>
      <c r="B43" s="126">
        <v>15.6</v>
      </c>
      <c r="C43" s="114"/>
      <c r="D43" s="114"/>
    </row>
    <row r="44" spans="1:4" x14ac:dyDescent="0.2">
      <c r="A44" s="125" t="s">
        <v>113</v>
      </c>
      <c r="B44" s="126">
        <v>15.7</v>
      </c>
      <c r="C44" s="114"/>
      <c r="D44" s="114"/>
    </row>
    <row r="45" spans="1:4" x14ac:dyDescent="0.2">
      <c r="A45" s="125" t="s">
        <v>99</v>
      </c>
      <c r="B45" s="126">
        <v>15.9</v>
      </c>
      <c r="C45" s="114"/>
      <c r="D45" s="114"/>
    </row>
    <row r="46" spans="1:4" x14ac:dyDescent="0.2">
      <c r="A46" s="125" t="s">
        <v>33</v>
      </c>
      <c r="B46" s="126">
        <v>15.9</v>
      </c>
      <c r="C46" s="114"/>
      <c r="D46" s="114"/>
    </row>
    <row r="47" spans="1:4" x14ac:dyDescent="0.2">
      <c r="A47" s="125" t="s">
        <v>116</v>
      </c>
      <c r="B47" s="126">
        <v>16.100000000000001</v>
      </c>
      <c r="C47" s="114"/>
      <c r="D47" s="114" t="s">
        <v>446</v>
      </c>
    </row>
    <row r="48" spans="1:4" x14ac:dyDescent="0.2">
      <c r="A48" s="125" t="s">
        <v>92</v>
      </c>
      <c r="B48" s="126">
        <v>16.2</v>
      </c>
      <c r="C48" s="114"/>
      <c r="D48" s="114"/>
    </row>
    <row r="49" spans="1:4" x14ac:dyDescent="0.2">
      <c r="A49" s="125" t="s">
        <v>82</v>
      </c>
      <c r="B49" s="126">
        <v>16.2</v>
      </c>
      <c r="C49" s="114"/>
      <c r="D49" s="114"/>
    </row>
    <row r="50" spans="1:4" x14ac:dyDescent="0.2">
      <c r="A50" s="125" t="s">
        <v>111</v>
      </c>
      <c r="B50" s="126">
        <v>16.3</v>
      </c>
      <c r="C50" s="114"/>
      <c r="D50" s="114"/>
    </row>
    <row r="51" spans="1:4" x14ac:dyDescent="0.2">
      <c r="A51" s="125" t="s">
        <v>119</v>
      </c>
      <c r="B51" s="126">
        <v>16.3</v>
      </c>
      <c r="C51" s="114"/>
      <c r="D51" s="114"/>
    </row>
    <row r="52" spans="1:4" x14ac:dyDescent="0.2">
      <c r="A52" s="125" t="s">
        <v>126</v>
      </c>
      <c r="B52" s="126">
        <v>16.3</v>
      </c>
      <c r="C52" s="114"/>
      <c r="D52" s="114"/>
    </row>
    <row r="53" spans="1:4" x14ac:dyDescent="0.2">
      <c r="A53" s="125" t="s">
        <v>102</v>
      </c>
      <c r="B53" s="126">
        <v>16.5</v>
      </c>
      <c r="C53" s="114"/>
      <c r="D53" s="114"/>
    </row>
    <row r="54" spans="1:4" x14ac:dyDescent="0.2">
      <c r="A54" s="125" t="s">
        <v>127</v>
      </c>
      <c r="B54" s="126">
        <v>16.5</v>
      </c>
      <c r="C54" s="114"/>
      <c r="D54" s="114" t="s">
        <v>415</v>
      </c>
    </row>
    <row r="55" spans="1:4" x14ac:dyDescent="0.2">
      <c r="A55" s="125" t="s">
        <v>32</v>
      </c>
      <c r="B55" s="126">
        <v>16.600000000000001</v>
      </c>
      <c r="C55" s="114"/>
      <c r="D55" s="114" t="s">
        <v>448</v>
      </c>
    </row>
    <row r="56" spans="1:4" x14ac:dyDescent="0.2">
      <c r="A56" s="125" t="s">
        <v>38</v>
      </c>
      <c r="B56" s="126">
        <v>16.600000000000001</v>
      </c>
      <c r="C56" s="114"/>
      <c r="D56" s="114"/>
    </row>
    <row r="57" spans="1:4" x14ac:dyDescent="0.2">
      <c r="A57" s="125" t="s">
        <v>95</v>
      </c>
      <c r="B57" s="126">
        <v>16.7</v>
      </c>
      <c r="C57" s="114"/>
      <c r="D57" s="114"/>
    </row>
    <row r="58" spans="1:4" x14ac:dyDescent="0.2">
      <c r="A58" s="125" t="s">
        <v>117</v>
      </c>
      <c r="B58" s="126">
        <v>16.8</v>
      </c>
      <c r="C58" s="114"/>
      <c r="D58" s="114"/>
    </row>
    <row r="59" spans="1:4" x14ac:dyDescent="0.2">
      <c r="A59" s="125" t="s">
        <v>107</v>
      </c>
      <c r="B59" s="126">
        <v>16.899999999999999</v>
      </c>
      <c r="C59" s="114"/>
      <c r="D59" s="114"/>
    </row>
    <row r="60" spans="1:4" x14ac:dyDescent="0.2">
      <c r="A60" s="125" t="s">
        <v>120</v>
      </c>
      <c r="B60" s="126">
        <v>17.3</v>
      </c>
      <c r="C60" s="114"/>
      <c r="D60" s="114"/>
    </row>
    <row r="61" spans="1:4" ht="16" customHeight="1" x14ac:dyDescent="0.2">
      <c r="A61" s="125" t="s">
        <v>109</v>
      </c>
      <c r="B61" s="126">
        <v>17.5</v>
      </c>
      <c r="C61" s="114"/>
      <c r="D61" s="114" t="s">
        <v>415</v>
      </c>
    </row>
    <row r="62" spans="1:4" x14ac:dyDescent="0.2">
      <c r="A62" s="125" t="s">
        <v>37</v>
      </c>
      <c r="B62" s="126">
        <v>17.5</v>
      </c>
      <c r="C62" s="114"/>
      <c r="D62" s="114"/>
    </row>
    <row r="63" spans="1:4" x14ac:dyDescent="0.2">
      <c r="A63" s="125" t="s">
        <v>108</v>
      </c>
      <c r="B63" s="126">
        <v>17.600000000000001</v>
      </c>
      <c r="C63" s="114"/>
      <c r="D63" s="114" t="s">
        <v>449</v>
      </c>
    </row>
    <row r="64" spans="1:4" x14ac:dyDescent="0.2">
      <c r="A64" s="125" t="s">
        <v>110</v>
      </c>
      <c r="B64" s="126">
        <v>17.600000000000001</v>
      </c>
      <c r="C64" s="114"/>
      <c r="D64" s="114"/>
    </row>
    <row r="65" spans="1:22" x14ac:dyDescent="0.2">
      <c r="A65" s="125" t="s">
        <v>36</v>
      </c>
      <c r="B65" s="126">
        <v>17.899999999999999</v>
      </c>
      <c r="C65" s="114"/>
      <c r="D65" s="114"/>
    </row>
    <row r="66" spans="1:22" x14ac:dyDescent="0.2">
      <c r="A66" s="125" t="s">
        <v>124</v>
      </c>
      <c r="B66" s="126">
        <v>18</v>
      </c>
      <c r="C66" s="114"/>
      <c r="D66" s="114"/>
    </row>
    <row r="67" spans="1:22" x14ac:dyDescent="0.2">
      <c r="A67" s="125" t="s">
        <v>125</v>
      </c>
      <c r="B67" s="126">
        <v>18.2</v>
      </c>
      <c r="C67" s="114"/>
      <c r="D67" s="114"/>
    </row>
    <row r="68" spans="1:22" x14ac:dyDescent="0.2">
      <c r="A68" s="125" t="s">
        <v>115</v>
      </c>
      <c r="B68" s="126">
        <v>18.5</v>
      </c>
      <c r="C68" s="114"/>
      <c r="D68" s="114"/>
    </row>
    <row r="69" spans="1:22" x14ac:dyDescent="0.2">
      <c r="A69" s="125" t="s">
        <v>114</v>
      </c>
      <c r="B69" s="126">
        <v>19.899999999999999</v>
      </c>
      <c r="C69" s="114"/>
      <c r="D69" s="114"/>
    </row>
    <row r="70" spans="1:22" ht="72" customHeight="1" x14ac:dyDescent="0.2">
      <c r="A70" s="211" t="s">
        <v>416</v>
      </c>
      <c r="B70" s="190"/>
      <c r="C70" s="190"/>
      <c r="D70" s="190"/>
      <c r="E70" s="190"/>
      <c r="F70" s="190"/>
      <c r="G70" s="190"/>
      <c r="H70" s="190"/>
      <c r="I70" s="190"/>
      <c r="J70" s="190"/>
      <c r="K70" s="190"/>
      <c r="L70" s="190"/>
      <c r="M70" s="190"/>
      <c r="N70" s="190"/>
      <c r="O70" s="190"/>
      <c r="P70" s="190"/>
      <c r="Q70" s="190"/>
      <c r="R70" s="190"/>
      <c r="S70" s="190"/>
      <c r="T70" s="190"/>
      <c r="U70" s="190"/>
      <c r="V70" s="190"/>
    </row>
    <row r="72" spans="1:22" x14ac:dyDescent="0.2">
      <c r="A72" s="122" t="s">
        <v>417</v>
      </c>
    </row>
    <row r="74" spans="1:22" x14ac:dyDescent="0.2">
      <c r="A74" s="122" t="s">
        <v>425</v>
      </c>
    </row>
    <row r="75" spans="1:22" x14ac:dyDescent="0.2">
      <c r="A75" s="127"/>
      <c r="B75" s="127"/>
      <c r="C75" s="127"/>
      <c r="D75" s="127"/>
      <c r="E75" s="127"/>
      <c r="F75" s="127"/>
      <c r="G75" s="127"/>
      <c r="H75" s="127"/>
      <c r="I75" s="127"/>
      <c r="J75" s="127"/>
      <c r="K75" s="127"/>
      <c r="L75" s="127"/>
      <c r="M75" s="127"/>
      <c r="N75" s="127"/>
      <c r="O75" s="127"/>
      <c r="P75" s="127"/>
      <c r="Q75" s="127"/>
      <c r="R75" s="127"/>
      <c r="S75" s="127"/>
      <c r="T75" s="127"/>
      <c r="U75" s="127"/>
      <c r="V75" s="127"/>
    </row>
    <row r="77" spans="1:22" x14ac:dyDescent="0.2">
      <c r="A77" s="210" t="s">
        <v>426</v>
      </c>
      <c r="B77" s="210"/>
    </row>
    <row r="78" spans="1:22" ht="56" x14ac:dyDescent="0.2">
      <c r="A78" s="126">
        <v>1</v>
      </c>
      <c r="B78" s="126" t="s">
        <v>427</v>
      </c>
    </row>
    <row r="79" spans="1:22" ht="42" x14ac:dyDescent="0.2">
      <c r="A79" s="126">
        <v>2</v>
      </c>
      <c r="B79" s="126" t="s">
        <v>428</v>
      </c>
    </row>
    <row r="80" spans="1:22" ht="98" x14ac:dyDescent="0.2">
      <c r="A80" s="126">
        <v>3</v>
      </c>
      <c r="B80" s="126" t="s">
        <v>429</v>
      </c>
    </row>
    <row r="81" spans="1:22" ht="42" x14ac:dyDescent="0.2">
      <c r="A81" s="126">
        <v>4</v>
      </c>
      <c r="B81" s="126" t="s">
        <v>430</v>
      </c>
    </row>
    <row r="82" spans="1:22" x14ac:dyDescent="0.2">
      <c r="A82" s="127"/>
      <c r="B82" s="127"/>
      <c r="C82" s="127"/>
      <c r="D82" s="127"/>
      <c r="E82" s="127"/>
      <c r="F82" s="127"/>
      <c r="G82" s="127"/>
      <c r="H82" s="127"/>
      <c r="I82" s="127"/>
      <c r="J82" s="127"/>
      <c r="K82" s="127"/>
      <c r="L82" s="127"/>
      <c r="M82" s="127"/>
      <c r="N82" s="127"/>
      <c r="O82" s="127"/>
      <c r="P82" s="127"/>
      <c r="Q82" s="127"/>
      <c r="R82" s="127"/>
      <c r="S82" s="127"/>
      <c r="T82" s="127"/>
      <c r="U82" s="127"/>
      <c r="V82" s="127"/>
    </row>
    <row r="84" spans="1:22" x14ac:dyDescent="0.2">
      <c r="A84" s="210" t="s">
        <v>431</v>
      </c>
      <c r="B84" s="210"/>
    </row>
    <row r="85" spans="1:22" x14ac:dyDescent="0.2">
      <c r="A85" s="126" t="s">
        <v>432</v>
      </c>
      <c r="B85" s="126" t="s">
        <v>433</v>
      </c>
    </row>
    <row r="86" spans="1:22" ht="98" x14ac:dyDescent="0.2">
      <c r="A86" s="126" t="s">
        <v>434</v>
      </c>
      <c r="B86" s="126" t="s">
        <v>435</v>
      </c>
    </row>
    <row r="87" spans="1:22" x14ac:dyDescent="0.2">
      <c r="A87" s="126" t="s">
        <v>436</v>
      </c>
      <c r="B87" s="126" t="s">
        <v>437</v>
      </c>
    </row>
    <row r="88" spans="1:22" x14ac:dyDescent="0.2">
      <c r="A88" s="126" t="s">
        <v>374</v>
      </c>
      <c r="B88" s="126" t="s">
        <v>438</v>
      </c>
    </row>
    <row r="89" spans="1:22" x14ac:dyDescent="0.2">
      <c r="A89" s="126" t="s">
        <v>439</v>
      </c>
      <c r="B89" s="126" t="s">
        <v>84</v>
      </c>
    </row>
  </sheetData>
  <mergeCells count="5">
    <mergeCell ref="B20:C20"/>
    <mergeCell ref="D20:E20"/>
    <mergeCell ref="A70:V70"/>
    <mergeCell ref="A77:B77"/>
    <mergeCell ref="A84:B84"/>
  </mergeCells>
  <phoneticPr fontId="7" type="noConversion"/>
  <hyperlinks>
    <hyperlink ref="A16" r:id="rId1"/>
    <hyperlink ref="A67" r:id="rId2"/>
    <hyperlink ref="A43" r:id="rId3"/>
    <hyperlink ref="A66" r:id="rId4"/>
    <hyperlink ref="A49" r:id="rId5"/>
    <hyperlink ref="A63" r:id="rId6"/>
    <hyperlink ref="A56" r:id="rId7"/>
    <hyperlink ref="A69" r:id="rId8"/>
    <hyperlink ref="A57" r:id="rId9"/>
    <hyperlink ref="A29" r:id="rId10"/>
    <hyperlink ref="A47" r:id="rId11"/>
    <hyperlink ref="A50" r:id="rId12"/>
    <hyperlink ref="A32" r:id="rId13"/>
    <hyperlink ref="A53" r:id="rId14"/>
    <hyperlink ref="A45" r:id="rId15"/>
    <hyperlink ref="A64" r:id="rId16"/>
    <hyperlink ref="A65" r:id="rId17"/>
    <hyperlink ref="A58" r:id="rId18"/>
    <hyperlink ref="A62" r:id="rId19"/>
    <hyperlink ref="A59" r:id="rId20"/>
    <hyperlink ref="A55" r:id="rId21"/>
    <hyperlink ref="A31" r:id="rId22"/>
    <hyperlink ref="A61" r:id="rId23"/>
    <hyperlink ref="A52" r:id="rId24"/>
    <hyperlink ref="A60" r:id="rId25"/>
    <hyperlink ref="A42" r:id="rId26"/>
    <hyperlink ref="A37" r:id="rId27"/>
    <hyperlink ref="A54" r:id="rId28"/>
    <hyperlink ref="A44" r:id="rId29"/>
    <hyperlink ref="A39" r:id="rId30"/>
    <hyperlink ref="A51" r:id="rId31"/>
    <hyperlink ref="A41" r:id="rId32"/>
    <hyperlink ref="A48" r:id="rId33"/>
    <hyperlink ref="A35" r:id="rId34"/>
    <hyperlink ref="A36" r:id="rId35"/>
    <hyperlink ref="A34" r:id="rId36"/>
    <hyperlink ref="A30" r:id="rId37"/>
    <hyperlink ref="A40" r:id="rId38"/>
    <hyperlink ref="A23" r:id="rId39"/>
    <hyperlink ref="A33" r:id="rId40"/>
    <hyperlink ref="A26" r:id="rId41"/>
    <hyperlink ref="A38" r:id="rId42"/>
    <hyperlink ref="A27" r:id="rId43"/>
    <hyperlink ref="A28" r:id="rId44"/>
    <hyperlink ref="A24" r:id="rId45"/>
    <hyperlink ref="A22" r:id="rId46"/>
    <hyperlink ref="A25" r:id="rId47"/>
    <hyperlink ref="A21" r:id="rId48"/>
    <hyperlink ref="A46" r:id="rId49"/>
  </hyperlinks>
  <pageMargins left="0.75" right="0.75" top="1" bottom="1" header="0.5" footer="0.5"/>
  <drawing r:id="rId5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87"/>
  <sheetViews>
    <sheetView showGridLines="0" topLeftCell="A41" workbookViewId="0">
      <selection activeCell="A12" sqref="A12:K12"/>
    </sheetView>
  </sheetViews>
  <sheetFormatPr baseColWidth="10" defaultColWidth="11.5" defaultRowHeight="15" x14ac:dyDescent="0.2"/>
  <cols>
    <col min="1" max="1" width="23.6640625" customWidth="1"/>
    <col min="2" max="2" width="12.5" customWidth="1"/>
    <col min="3" max="4" width="4.1640625" customWidth="1"/>
    <col min="6" max="6" width="4.1640625" customWidth="1"/>
    <col min="8" max="8" width="4.1640625" customWidth="1"/>
    <col min="10" max="10" width="4.1640625" customWidth="1"/>
    <col min="12" max="12" width="4.1640625" customWidth="1"/>
    <col min="14" max="14" width="4.1640625" customWidth="1"/>
    <col min="15" max="15" width="2.1640625" customWidth="1"/>
    <col min="16" max="16" width="4.1640625" customWidth="1"/>
  </cols>
  <sheetData>
    <row r="3" spans="1:11" ht="24" x14ac:dyDescent="0.3">
      <c r="A3" s="121" t="s">
        <v>407</v>
      </c>
    </row>
    <row r="6" spans="1:11" x14ac:dyDescent="0.2">
      <c r="A6" s="122" t="s">
        <v>440</v>
      </c>
    </row>
    <row r="8" spans="1:11" ht="24" x14ac:dyDescent="0.3">
      <c r="A8" s="121" t="s">
        <v>441</v>
      </c>
    </row>
    <row r="10" spans="1:11" x14ac:dyDescent="0.2">
      <c r="A10" s="122" t="s">
        <v>442</v>
      </c>
    </row>
    <row r="12" spans="1:11" s="37" customFormat="1" ht="26" customHeight="1" x14ac:dyDescent="0.2">
      <c r="A12" s="190" t="s">
        <v>443</v>
      </c>
      <c r="B12" s="190"/>
      <c r="C12" s="190"/>
      <c r="D12" s="190"/>
      <c r="E12" s="190"/>
      <c r="F12" s="190"/>
      <c r="G12" s="190"/>
      <c r="H12" s="190"/>
      <c r="I12" s="190"/>
      <c r="J12" s="190"/>
      <c r="K12" s="190"/>
    </row>
    <row r="14" spans="1:11" x14ac:dyDescent="0.2">
      <c r="A14" s="122" t="s">
        <v>410</v>
      </c>
    </row>
    <row r="16" spans="1:11" x14ac:dyDescent="0.2">
      <c r="A16" s="128" t="s">
        <v>88</v>
      </c>
      <c r="B16" s="210" t="s">
        <v>444</v>
      </c>
      <c r="C16" s="210"/>
      <c r="D16" s="129"/>
    </row>
    <row r="17" spans="1:4" x14ac:dyDescent="0.2">
      <c r="A17" s="130" t="s">
        <v>41</v>
      </c>
      <c r="B17" s="126">
        <v>6.4</v>
      </c>
      <c r="C17" s="114"/>
      <c r="D17" s="114"/>
    </row>
    <row r="18" spans="1:4" x14ac:dyDescent="0.2">
      <c r="A18" s="130" t="s">
        <v>93</v>
      </c>
      <c r="B18" s="126">
        <v>7.2</v>
      </c>
      <c r="C18" s="114"/>
      <c r="D18" s="114"/>
    </row>
    <row r="19" spans="1:4" x14ac:dyDescent="0.2">
      <c r="A19" s="130" t="s">
        <v>445</v>
      </c>
      <c r="B19" s="126">
        <v>7.9</v>
      </c>
      <c r="C19" s="114"/>
      <c r="D19" s="114"/>
    </row>
    <row r="20" spans="1:4" x14ac:dyDescent="0.2">
      <c r="A20" s="130" t="s">
        <v>127</v>
      </c>
      <c r="B20" s="126">
        <v>8</v>
      </c>
      <c r="C20" s="114"/>
      <c r="D20" s="114"/>
    </row>
    <row r="21" spans="1:4" x14ac:dyDescent="0.2">
      <c r="A21" s="130" t="s">
        <v>99</v>
      </c>
      <c r="B21" s="126">
        <v>8.9</v>
      </c>
      <c r="C21" s="114"/>
      <c r="D21" s="114"/>
    </row>
    <row r="22" spans="1:4" x14ac:dyDescent="0.2">
      <c r="A22" s="130" t="s">
        <v>97</v>
      </c>
      <c r="B22" s="126">
        <v>9.1</v>
      </c>
      <c r="C22" s="114"/>
      <c r="D22" s="114"/>
    </row>
    <row r="23" spans="1:4" x14ac:dyDescent="0.2">
      <c r="A23" s="130" t="s">
        <v>34</v>
      </c>
      <c r="B23" s="126">
        <v>9.1999999999999993</v>
      </c>
      <c r="C23" s="114"/>
      <c r="D23" s="114"/>
    </row>
    <row r="24" spans="1:4" x14ac:dyDescent="0.2">
      <c r="A24" s="130" t="s">
        <v>22</v>
      </c>
      <c r="B24" s="126">
        <v>9.3000000000000007</v>
      </c>
      <c r="C24" s="114"/>
      <c r="D24" s="114"/>
    </row>
    <row r="25" spans="1:4" x14ac:dyDescent="0.2">
      <c r="A25" s="130" t="s">
        <v>122</v>
      </c>
      <c r="B25" s="126">
        <v>9.5</v>
      </c>
      <c r="C25" s="114"/>
      <c r="D25" s="114"/>
    </row>
    <row r="26" spans="1:4" x14ac:dyDescent="0.2">
      <c r="A26" s="130" t="s">
        <v>37</v>
      </c>
      <c r="B26" s="126">
        <v>9.5</v>
      </c>
      <c r="C26" s="114"/>
      <c r="D26" s="114"/>
    </row>
    <row r="27" spans="1:4" x14ac:dyDescent="0.2">
      <c r="A27" s="130" t="s">
        <v>155</v>
      </c>
      <c r="B27" s="126">
        <v>9.5</v>
      </c>
      <c r="C27" s="114"/>
      <c r="D27" s="114"/>
    </row>
    <row r="28" spans="1:4" x14ac:dyDescent="0.2">
      <c r="A28" s="130" t="s">
        <v>151</v>
      </c>
      <c r="B28" s="126">
        <v>9.6</v>
      </c>
      <c r="C28" s="114"/>
      <c r="D28" s="114"/>
    </row>
    <row r="29" spans="1:4" x14ac:dyDescent="0.2">
      <c r="A29" s="130" t="s">
        <v>117</v>
      </c>
      <c r="B29" s="126">
        <v>9.6999999999999993</v>
      </c>
      <c r="C29" s="114"/>
      <c r="D29" s="114"/>
    </row>
    <row r="30" spans="1:4" x14ac:dyDescent="0.2">
      <c r="A30" s="130" t="s">
        <v>32</v>
      </c>
      <c r="B30" s="126">
        <v>9.9</v>
      </c>
      <c r="C30" s="114"/>
      <c r="D30" s="114"/>
    </row>
    <row r="31" spans="1:4" x14ac:dyDescent="0.2">
      <c r="A31" s="130" t="s">
        <v>123</v>
      </c>
      <c r="B31" s="126">
        <v>9.9</v>
      </c>
      <c r="C31" s="114"/>
      <c r="D31" s="114"/>
    </row>
    <row r="32" spans="1:4" x14ac:dyDescent="0.2">
      <c r="A32" s="130" t="s">
        <v>40</v>
      </c>
      <c r="B32" s="126">
        <v>10</v>
      </c>
      <c r="C32" s="114"/>
      <c r="D32" s="114"/>
    </row>
    <row r="33" spans="1:4" x14ac:dyDescent="0.2">
      <c r="A33" s="130" t="s">
        <v>118</v>
      </c>
      <c r="B33" s="126">
        <v>10.199999999999999</v>
      </c>
      <c r="C33" s="114"/>
      <c r="D33" s="114"/>
    </row>
    <row r="34" spans="1:4" x14ac:dyDescent="0.2">
      <c r="A34" s="130" t="s">
        <v>110</v>
      </c>
      <c r="B34" s="126">
        <v>10.3</v>
      </c>
      <c r="C34" s="114"/>
      <c r="D34" s="114"/>
    </row>
    <row r="35" spans="1:4" x14ac:dyDescent="0.2">
      <c r="A35" s="130" t="s">
        <v>129</v>
      </c>
      <c r="B35" s="126">
        <v>10.4</v>
      </c>
      <c r="C35" s="114"/>
      <c r="D35" s="114"/>
    </row>
    <row r="36" spans="1:4" x14ac:dyDescent="0.2">
      <c r="A36" s="130" t="s">
        <v>100</v>
      </c>
      <c r="B36" s="126">
        <v>10.5</v>
      </c>
      <c r="C36" s="114"/>
      <c r="D36" s="114"/>
    </row>
    <row r="37" spans="1:4" x14ac:dyDescent="0.2">
      <c r="A37" s="130" t="s">
        <v>102</v>
      </c>
      <c r="B37" s="126">
        <v>10.5</v>
      </c>
      <c r="C37" s="114"/>
      <c r="D37" s="114"/>
    </row>
    <row r="38" spans="1:4" x14ac:dyDescent="0.2">
      <c r="A38" s="130" t="s">
        <v>81</v>
      </c>
      <c r="B38" s="126">
        <v>10.5</v>
      </c>
      <c r="C38" s="114"/>
      <c r="D38" s="114"/>
    </row>
    <row r="39" spans="1:4" x14ac:dyDescent="0.2">
      <c r="A39" s="130" t="s">
        <v>104</v>
      </c>
      <c r="B39" s="126">
        <v>10.6</v>
      </c>
      <c r="C39" s="114"/>
      <c r="D39" s="114"/>
    </row>
    <row r="40" spans="1:4" x14ac:dyDescent="0.2">
      <c r="A40" s="130" t="s">
        <v>106</v>
      </c>
      <c r="B40" s="126">
        <v>10.7</v>
      </c>
      <c r="C40" s="114"/>
      <c r="D40" s="114"/>
    </row>
    <row r="41" spans="1:4" x14ac:dyDescent="0.2">
      <c r="A41" s="130" t="s">
        <v>98</v>
      </c>
      <c r="B41" s="126">
        <v>10.8</v>
      </c>
      <c r="C41" s="114"/>
      <c r="D41" s="114"/>
    </row>
    <row r="42" spans="1:4" x14ac:dyDescent="0.2">
      <c r="A42" s="130" t="s">
        <v>114</v>
      </c>
      <c r="B42" s="126">
        <v>10.8</v>
      </c>
      <c r="C42" s="114"/>
      <c r="D42" s="114"/>
    </row>
    <row r="43" spans="1:4" x14ac:dyDescent="0.2">
      <c r="A43" s="130" t="s">
        <v>111</v>
      </c>
      <c r="B43" s="126">
        <v>10.9</v>
      </c>
      <c r="C43" s="114"/>
      <c r="D43" s="114"/>
    </row>
    <row r="44" spans="1:4" x14ac:dyDescent="0.2">
      <c r="A44" s="130" t="s">
        <v>121</v>
      </c>
      <c r="B44" s="126">
        <v>10.9</v>
      </c>
      <c r="C44" s="114"/>
      <c r="D44" s="114"/>
    </row>
    <row r="45" spans="1:4" x14ac:dyDescent="0.2">
      <c r="A45" s="130" t="s">
        <v>113</v>
      </c>
      <c r="B45" s="126">
        <v>11.2</v>
      </c>
      <c r="C45" s="114"/>
      <c r="D45" s="114"/>
    </row>
    <row r="46" spans="1:4" x14ac:dyDescent="0.2">
      <c r="A46" s="130" t="s">
        <v>42</v>
      </c>
      <c r="B46" s="126">
        <v>11.2</v>
      </c>
      <c r="C46" s="114"/>
      <c r="D46" s="114"/>
    </row>
    <row r="47" spans="1:4" x14ac:dyDescent="0.2">
      <c r="A47" s="130" t="s">
        <v>92</v>
      </c>
      <c r="B47" s="126">
        <v>11.4</v>
      </c>
      <c r="C47" s="114"/>
      <c r="D47" s="114"/>
    </row>
    <row r="48" spans="1:4" x14ac:dyDescent="0.2">
      <c r="A48" s="130" t="s">
        <v>119</v>
      </c>
      <c r="B48" s="126">
        <v>11.5</v>
      </c>
      <c r="C48" s="114"/>
      <c r="D48" s="114"/>
    </row>
    <row r="49" spans="1:4" x14ac:dyDescent="0.2">
      <c r="A49" s="130" t="s">
        <v>39</v>
      </c>
      <c r="B49" s="126">
        <v>11.5</v>
      </c>
      <c r="C49" s="114"/>
      <c r="D49" s="114"/>
    </row>
    <row r="50" spans="1:4" x14ac:dyDescent="0.2">
      <c r="A50" s="130" t="s">
        <v>124</v>
      </c>
      <c r="B50" s="126">
        <v>11.6</v>
      </c>
      <c r="C50" s="114"/>
      <c r="D50" s="114"/>
    </row>
    <row r="51" spans="1:4" x14ac:dyDescent="0.2">
      <c r="A51" s="130" t="s">
        <v>35</v>
      </c>
      <c r="B51" s="126">
        <v>11.6</v>
      </c>
      <c r="C51" s="114"/>
      <c r="D51" s="114"/>
    </row>
    <row r="52" spans="1:4" x14ac:dyDescent="0.2">
      <c r="A52" s="130" t="s">
        <v>115</v>
      </c>
      <c r="B52" s="126">
        <v>11.7</v>
      </c>
      <c r="C52" s="114"/>
      <c r="D52" s="114"/>
    </row>
    <row r="53" spans="1:4" x14ac:dyDescent="0.2">
      <c r="A53" s="130" t="s">
        <v>130</v>
      </c>
      <c r="B53" s="126">
        <v>11.7</v>
      </c>
      <c r="C53" s="114"/>
      <c r="D53" s="114"/>
    </row>
    <row r="54" spans="1:4" x14ac:dyDescent="0.2">
      <c r="A54" s="130" t="s">
        <v>36</v>
      </c>
      <c r="B54" s="126">
        <v>11.8</v>
      </c>
      <c r="C54" s="114"/>
      <c r="D54" s="114"/>
    </row>
    <row r="55" spans="1:4" x14ac:dyDescent="0.2">
      <c r="A55" s="130" t="s">
        <v>38</v>
      </c>
      <c r="B55" s="126">
        <v>11.8</v>
      </c>
      <c r="C55" s="114"/>
      <c r="D55" s="114"/>
    </row>
    <row r="56" spans="1:4" x14ac:dyDescent="0.2">
      <c r="A56" s="130" t="s">
        <v>108</v>
      </c>
      <c r="B56" s="126">
        <v>11.9</v>
      </c>
      <c r="C56" s="114"/>
      <c r="D56" s="114"/>
    </row>
    <row r="57" spans="1:4" x14ac:dyDescent="0.2">
      <c r="A57" s="130" t="s">
        <v>94</v>
      </c>
      <c r="B57" s="126">
        <v>11.9</v>
      </c>
      <c r="C57" s="114"/>
      <c r="D57" s="114"/>
    </row>
    <row r="58" spans="1:4" x14ac:dyDescent="0.2">
      <c r="A58" s="130" t="s">
        <v>126</v>
      </c>
      <c r="B58" s="126">
        <v>11.9</v>
      </c>
      <c r="C58" s="114"/>
      <c r="D58" s="114"/>
    </row>
    <row r="59" spans="1:4" x14ac:dyDescent="0.2">
      <c r="A59" s="130" t="s">
        <v>107</v>
      </c>
      <c r="B59" s="126">
        <v>12.1</v>
      </c>
      <c r="C59" s="114"/>
      <c r="D59" s="114"/>
    </row>
    <row r="60" spans="1:4" x14ac:dyDescent="0.2">
      <c r="A60" s="130" t="s">
        <v>109</v>
      </c>
      <c r="B60" s="126">
        <v>12.3</v>
      </c>
      <c r="C60" s="114"/>
      <c r="D60" s="114"/>
    </row>
    <row r="61" spans="1:4" x14ac:dyDescent="0.2">
      <c r="A61" s="130" t="s">
        <v>120</v>
      </c>
      <c r="B61" s="126">
        <v>12.3</v>
      </c>
      <c r="C61" s="114"/>
      <c r="D61" s="114"/>
    </row>
    <row r="62" spans="1:4" x14ac:dyDescent="0.2">
      <c r="A62" s="130" t="s">
        <v>82</v>
      </c>
      <c r="B62" s="126">
        <v>12.6</v>
      </c>
      <c r="C62" s="114"/>
      <c r="D62" s="114"/>
    </row>
    <row r="63" spans="1:4" x14ac:dyDescent="0.2">
      <c r="A63" s="130" t="s">
        <v>116</v>
      </c>
      <c r="B63" s="126">
        <v>12.6</v>
      </c>
      <c r="C63" s="114"/>
      <c r="D63" s="114"/>
    </row>
    <row r="64" spans="1:4" x14ac:dyDescent="0.2">
      <c r="A64" s="130" t="s">
        <v>125</v>
      </c>
      <c r="B64" s="126">
        <v>12.7</v>
      </c>
      <c r="C64" s="114"/>
      <c r="D64" s="114"/>
    </row>
    <row r="65" spans="1:17" x14ac:dyDescent="0.2">
      <c r="A65" s="130" t="s">
        <v>95</v>
      </c>
      <c r="B65" s="126">
        <v>12.8</v>
      </c>
      <c r="C65" s="114"/>
      <c r="D65" s="114"/>
    </row>
    <row r="66" spans="1:17" ht="84" customHeight="1" x14ac:dyDescent="0.2">
      <c r="A66" s="211" t="s">
        <v>450</v>
      </c>
      <c r="B66" s="190"/>
      <c r="C66" s="190"/>
      <c r="D66" s="190"/>
      <c r="E66" s="190"/>
      <c r="F66" s="190"/>
      <c r="G66" s="190"/>
      <c r="H66" s="190"/>
      <c r="I66" s="190"/>
      <c r="J66" s="190"/>
      <c r="K66" s="190"/>
      <c r="L66" s="190"/>
      <c r="M66" s="190"/>
      <c r="N66" s="190"/>
      <c r="O66" s="190"/>
      <c r="P66" s="190"/>
      <c r="Q66" s="190"/>
    </row>
    <row r="68" spans="1:17" x14ac:dyDescent="0.2">
      <c r="A68" s="122" t="s">
        <v>417</v>
      </c>
    </row>
    <row r="70" spans="1:17" x14ac:dyDescent="0.2">
      <c r="A70" s="122" t="s">
        <v>425</v>
      </c>
    </row>
    <row r="71" spans="1:17" x14ac:dyDescent="0.2">
      <c r="A71" s="127"/>
      <c r="B71" s="127"/>
      <c r="C71" s="127"/>
      <c r="D71" s="127"/>
      <c r="E71" s="127"/>
      <c r="F71" s="127"/>
      <c r="G71" s="127"/>
      <c r="H71" s="127"/>
      <c r="I71" s="127"/>
      <c r="J71" s="127"/>
      <c r="K71" s="127"/>
      <c r="L71" s="127"/>
      <c r="M71" s="127"/>
      <c r="N71" s="127"/>
      <c r="O71" s="127"/>
      <c r="P71" s="127"/>
      <c r="Q71" s="127"/>
    </row>
    <row r="73" spans="1:17" x14ac:dyDescent="0.2">
      <c r="A73" s="210" t="s">
        <v>426</v>
      </c>
      <c r="B73" s="210"/>
    </row>
    <row r="74" spans="1:17" ht="70" x14ac:dyDescent="0.2">
      <c r="A74" s="126">
        <v>1</v>
      </c>
      <c r="B74" s="126" t="s">
        <v>427</v>
      </c>
    </row>
    <row r="75" spans="1:17" ht="140" x14ac:dyDescent="0.2">
      <c r="A75" s="126">
        <v>2</v>
      </c>
      <c r="B75" s="126" t="s">
        <v>451</v>
      </c>
    </row>
    <row r="76" spans="1:17" ht="28" x14ac:dyDescent="0.2">
      <c r="A76" s="126">
        <v>3</v>
      </c>
      <c r="B76" s="126" t="s">
        <v>452</v>
      </c>
    </row>
    <row r="77" spans="1:17" ht="56" x14ac:dyDescent="0.2">
      <c r="A77" s="126">
        <v>4</v>
      </c>
      <c r="B77" s="126" t="s">
        <v>453</v>
      </c>
    </row>
    <row r="78" spans="1:17" ht="56" x14ac:dyDescent="0.2">
      <c r="A78" s="126">
        <v>5</v>
      </c>
      <c r="B78" s="126" t="s">
        <v>454</v>
      </c>
    </row>
    <row r="79" spans="1:17" ht="56" x14ac:dyDescent="0.2">
      <c r="A79" s="126">
        <v>6</v>
      </c>
      <c r="B79" s="126" t="s">
        <v>455</v>
      </c>
    </row>
    <row r="80" spans="1:17" x14ac:dyDescent="0.2">
      <c r="A80" s="127"/>
      <c r="B80" s="127"/>
      <c r="C80" s="127"/>
      <c r="D80" s="127"/>
      <c r="E80" s="127"/>
      <c r="F80" s="127"/>
      <c r="G80" s="127"/>
      <c r="H80" s="127"/>
      <c r="I80" s="127"/>
      <c r="J80" s="127"/>
      <c r="K80" s="127"/>
      <c r="L80" s="127"/>
      <c r="M80" s="127"/>
      <c r="N80" s="127"/>
      <c r="O80" s="127"/>
      <c r="P80" s="127"/>
      <c r="Q80" s="127"/>
    </row>
    <row r="82" spans="1:2" x14ac:dyDescent="0.2">
      <c r="A82" s="210" t="s">
        <v>431</v>
      </c>
      <c r="B82" s="210"/>
    </row>
    <row r="83" spans="1:2" ht="28" x14ac:dyDescent="0.2">
      <c r="A83" s="126" t="s">
        <v>432</v>
      </c>
      <c r="B83" s="126" t="s">
        <v>433</v>
      </c>
    </row>
    <row r="84" spans="1:2" ht="112" x14ac:dyDescent="0.2">
      <c r="A84" s="126" t="s">
        <v>434</v>
      </c>
      <c r="B84" s="126" t="s">
        <v>435</v>
      </c>
    </row>
    <row r="85" spans="1:2" x14ac:dyDescent="0.2">
      <c r="A85" s="126" t="s">
        <v>436</v>
      </c>
      <c r="B85" s="126" t="s">
        <v>437</v>
      </c>
    </row>
    <row r="86" spans="1:2" x14ac:dyDescent="0.2">
      <c r="A86" s="126" t="s">
        <v>374</v>
      </c>
      <c r="B86" s="126" t="s">
        <v>438</v>
      </c>
    </row>
    <row r="87" spans="1:2" x14ac:dyDescent="0.2">
      <c r="A87" s="126" t="s">
        <v>439</v>
      </c>
      <c r="B87" s="126" t="s">
        <v>84</v>
      </c>
    </row>
  </sheetData>
  <mergeCells count="5">
    <mergeCell ref="A12:K12"/>
    <mergeCell ref="B16:C16"/>
    <mergeCell ref="A66:Q66"/>
    <mergeCell ref="A73:B73"/>
    <mergeCell ref="A82:B82"/>
  </mergeCells>
  <phoneticPr fontId="7" type="noConversion"/>
  <hyperlinks>
    <hyperlink ref="A64" r:id="rId1"/>
    <hyperlink ref="A49" r:id="rId2"/>
    <hyperlink ref="A50" r:id="rId3"/>
    <hyperlink ref="A62" r:id="rId4"/>
    <hyperlink ref="A56" r:id="rId5"/>
    <hyperlink ref="A52" r:id="rId6"/>
    <hyperlink ref="A55" r:id="rId7"/>
    <hyperlink ref="A42" r:id="rId8"/>
    <hyperlink ref="A65" r:id="rId9"/>
    <hyperlink ref="A63" r:id="rId10"/>
    <hyperlink ref="A43" r:id="rId11"/>
    <hyperlink ref="A44" r:id="rId12"/>
    <hyperlink ref="A37" r:id="rId13"/>
    <hyperlink ref="A21" r:id="rId14"/>
    <hyperlink ref="A34" r:id="rId15"/>
    <hyperlink ref="A54" r:id="rId16"/>
    <hyperlink ref="A29" r:id="rId17"/>
    <hyperlink ref="A26" r:id="rId18"/>
    <hyperlink ref="A59" r:id="rId19"/>
    <hyperlink ref="A30" r:id="rId20"/>
    <hyperlink ref="A40" r:id="rId21"/>
    <hyperlink ref="A60" r:id="rId22"/>
    <hyperlink ref="A58" r:id="rId23"/>
    <hyperlink ref="A61" r:id="rId24"/>
    <hyperlink ref="A51" r:id="rId25"/>
    <hyperlink ref="A25" r:id="rId26"/>
    <hyperlink ref="A20" r:id="rId27"/>
    <hyperlink ref="A45" r:id="rId28"/>
    <hyperlink ref="A38" r:id="rId29"/>
    <hyperlink ref="A48" r:id="rId30"/>
    <hyperlink ref="A31" r:id="rId31"/>
    <hyperlink ref="A47" r:id="rId32"/>
    <hyperlink ref="A35" r:id="rId33"/>
    <hyperlink ref="A53" r:id="rId34"/>
    <hyperlink ref="A39" r:id="rId35"/>
    <hyperlink ref="A17" r:id="rId36"/>
    <hyperlink ref="A33" r:id="rId37"/>
    <hyperlink ref="A36" r:id="rId38"/>
    <hyperlink ref="A23" r:id="rId39"/>
    <hyperlink ref="A57" r:id="rId40"/>
    <hyperlink ref="A46" r:id="rId41"/>
    <hyperlink ref="A19" r:id="rId42"/>
    <hyperlink ref="A18" r:id="rId43"/>
    <hyperlink ref="A41" r:id="rId44"/>
    <hyperlink ref="A22" r:id="rId45"/>
    <hyperlink ref="A28" r:id="rId46"/>
    <hyperlink ref="A27" r:id="rId47"/>
    <hyperlink ref="A24" r:id="rId48"/>
    <hyperlink ref="A32" r:id="rId49"/>
  </hyperlinks>
  <pageMargins left="0.75000000000000011" right="0.75000000000000011" top="1" bottom="1" header="0.5" footer="0.5"/>
  <drawing r:id="rId5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0"/>
  <sheetViews>
    <sheetView topLeftCell="A28" zoomScaleNormal="70" zoomScalePageLayoutView="70" workbookViewId="0">
      <selection activeCell="E62" sqref="E62"/>
    </sheetView>
  </sheetViews>
  <sheetFormatPr baseColWidth="10" defaultColWidth="9.1640625" defaultRowHeight="15" x14ac:dyDescent="0.2"/>
  <sheetData>
    <row r="1" spans="1:7" x14ac:dyDescent="0.2">
      <c r="A1" s="3" t="s">
        <v>533</v>
      </c>
    </row>
    <row r="4" spans="1:7" ht="150.75" customHeight="1" x14ac:dyDescent="0.2">
      <c r="A4" s="30" t="s">
        <v>88</v>
      </c>
      <c r="B4" s="31" t="s">
        <v>543</v>
      </c>
      <c r="C4" s="31" t="s">
        <v>544</v>
      </c>
      <c r="D4" s="32"/>
      <c r="E4" s="32"/>
      <c r="F4" s="32"/>
      <c r="G4" s="32"/>
    </row>
    <row r="5" spans="1:7" x14ac:dyDescent="0.2">
      <c r="A5" t="s">
        <v>41</v>
      </c>
      <c r="B5">
        <v>29.399999619999999</v>
      </c>
      <c r="C5">
        <v>70.800003050000001</v>
      </c>
    </row>
    <row r="6" spans="1:7" x14ac:dyDescent="0.2">
      <c r="A6" t="s">
        <v>93</v>
      </c>
      <c r="B6">
        <v>34.099998470000003</v>
      </c>
      <c r="C6">
        <v>57.200000760000002</v>
      </c>
    </row>
    <row r="7" spans="1:7" x14ac:dyDescent="0.2">
      <c r="A7" t="s">
        <v>128</v>
      </c>
      <c r="B7">
        <v>37</v>
      </c>
      <c r="C7">
        <v>43.299999239999998</v>
      </c>
    </row>
    <row r="8" spans="1:7" x14ac:dyDescent="0.2">
      <c r="A8" t="s">
        <v>122</v>
      </c>
      <c r="B8">
        <v>38</v>
      </c>
      <c r="C8">
        <v>66.5</v>
      </c>
    </row>
    <row r="9" spans="1:7" x14ac:dyDescent="0.2">
      <c r="A9" t="s">
        <v>117</v>
      </c>
      <c r="B9">
        <v>39.400001529999997</v>
      </c>
      <c r="C9">
        <v>59.400001529999997</v>
      </c>
    </row>
    <row r="10" spans="1:7" x14ac:dyDescent="0.2">
      <c r="A10" t="s">
        <v>512</v>
      </c>
      <c r="B10">
        <v>42.900001529999997</v>
      </c>
      <c r="C10">
        <v>67.300003050000001</v>
      </c>
    </row>
    <row r="11" spans="1:7" x14ac:dyDescent="0.2">
      <c r="A11" t="s">
        <v>32</v>
      </c>
      <c r="B11">
        <v>44.200000760000002</v>
      </c>
      <c r="C11">
        <v>62.599998470000003</v>
      </c>
    </row>
    <row r="12" spans="1:7" x14ac:dyDescent="0.2">
      <c r="A12" t="s">
        <v>113</v>
      </c>
      <c r="B12">
        <v>44.700000760000002</v>
      </c>
      <c r="C12">
        <v>59.900001529999997</v>
      </c>
    </row>
    <row r="13" spans="1:7" x14ac:dyDescent="0.2">
      <c r="A13" t="s">
        <v>81</v>
      </c>
      <c r="B13">
        <v>44.799999239999998</v>
      </c>
      <c r="C13">
        <v>58.5</v>
      </c>
    </row>
    <row r="14" spans="1:7" x14ac:dyDescent="0.2">
      <c r="A14" t="s">
        <v>97</v>
      </c>
      <c r="B14">
        <v>45</v>
      </c>
      <c r="C14">
        <v>65.400001529999997</v>
      </c>
    </row>
    <row r="15" spans="1:7" x14ac:dyDescent="0.2">
      <c r="A15" t="s">
        <v>83</v>
      </c>
      <c r="B15">
        <v>46.700000760000002</v>
      </c>
      <c r="C15">
        <v>76.5</v>
      </c>
    </row>
    <row r="16" spans="1:7" x14ac:dyDescent="0.2">
      <c r="A16" t="s">
        <v>102</v>
      </c>
      <c r="B16">
        <v>46.900001529999997</v>
      </c>
      <c r="C16">
        <v>59.400001529999997</v>
      </c>
    </row>
    <row r="17" spans="1:3" x14ac:dyDescent="0.2">
      <c r="A17" t="s">
        <v>104</v>
      </c>
      <c r="B17">
        <v>47.799999239999998</v>
      </c>
      <c r="C17">
        <v>58.799999239999998</v>
      </c>
    </row>
    <row r="18" spans="1:3" x14ac:dyDescent="0.2">
      <c r="A18" t="s">
        <v>155</v>
      </c>
      <c r="B18">
        <v>47.900001529999997</v>
      </c>
      <c r="C18">
        <v>75.199996949999999</v>
      </c>
    </row>
    <row r="19" spans="1:3" x14ac:dyDescent="0.2">
      <c r="A19" t="s">
        <v>129</v>
      </c>
      <c r="B19">
        <v>48.5</v>
      </c>
      <c r="C19">
        <v>64.699996949999999</v>
      </c>
    </row>
    <row r="20" spans="1:3" x14ac:dyDescent="0.2">
      <c r="A20" t="s">
        <v>126</v>
      </c>
      <c r="B20">
        <v>48.900001529999997</v>
      </c>
      <c r="C20">
        <v>64.800003050000001</v>
      </c>
    </row>
    <row r="21" spans="1:3" x14ac:dyDescent="0.2">
      <c r="A21" t="s">
        <v>92</v>
      </c>
      <c r="B21">
        <v>49.900001529999997</v>
      </c>
      <c r="C21">
        <v>62.700000760000002</v>
      </c>
    </row>
    <row r="22" spans="1:3" x14ac:dyDescent="0.2">
      <c r="A22" t="s">
        <v>107</v>
      </c>
      <c r="B22">
        <v>50.099998470000003</v>
      </c>
      <c r="C22">
        <v>67.800003050000001</v>
      </c>
    </row>
    <row r="23" spans="1:3" x14ac:dyDescent="0.2">
      <c r="A23" t="s">
        <v>121</v>
      </c>
      <c r="B23">
        <v>50.700000760000002</v>
      </c>
      <c r="C23">
        <v>64.900001529999997</v>
      </c>
    </row>
    <row r="24" spans="1:3" x14ac:dyDescent="0.2">
      <c r="A24" t="s">
        <v>111</v>
      </c>
      <c r="B24">
        <v>50.900001529999997</v>
      </c>
      <c r="C24">
        <v>61.799999239999998</v>
      </c>
    </row>
    <row r="25" spans="1:3" x14ac:dyDescent="0.2">
      <c r="A25" t="s">
        <v>35</v>
      </c>
      <c r="B25">
        <v>51</v>
      </c>
      <c r="C25">
        <v>68.699996949999999</v>
      </c>
    </row>
    <row r="26" spans="1:3" x14ac:dyDescent="0.2">
      <c r="A26" t="s">
        <v>98</v>
      </c>
      <c r="B26">
        <v>51.599998470000003</v>
      </c>
      <c r="C26">
        <v>73.400001529999997</v>
      </c>
    </row>
    <row r="27" spans="1:3" x14ac:dyDescent="0.2">
      <c r="A27" t="s">
        <v>36</v>
      </c>
      <c r="B27">
        <v>52.299999239999998</v>
      </c>
      <c r="C27">
        <v>63.5</v>
      </c>
    </row>
    <row r="28" spans="1:3" x14ac:dyDescent="0.2">
      <c r="A28" t="s">
        <v>37</v>
      </c>
      <c r="B28">
        <v>52.599998470000003</v>
      </c>
      <c r="C28">
        <v>66.5</v>
      </c>
    </row>
    <row r="29" spans="1:3" x14ac:dyDescent="0.2">
      <c r="A29" t="s">
        <v>115</v>
      </c>
      <c r="B29">
        <v>52.700000760000002</v>
      </c>
      <c r="C29">
        <v>67.900001529999997</v>
      </c>
    </row>
    <row r="30" spans="1:3" x14ac:dyDescent="0.2">
      <c r="A30" t="s">
        <v>42</v>
      </c>
      <c r="B30">
        <v>53</v>
      </c>
      <c r="C30">
        <v>66.599998470000003</v>
      </c>
    </row>
    <row r="31" spans="1:3" x14ac:dyDescent="0.2">
      <c r="A31" t="s">
        <v>82</v>
      </c>
      <c r="B31">
        <v>53.5</v>
      </c>
      <c r="C31">
        <v>66.400001529999997</v>
      </c>
    </row>
    <row r="32" spans="1:3" x14ac:dyDescent="0.2">
      <c r="A32" t="s">
        <v>119</v>
      </c>
      <c r="B32">
        <v>54.5</v>
      </c>
      <c r="C32">
        <v>67.099998470000003</v>
      </c>
    </row>
    <row r="33" spans="1:3" x14ac:dyDescent="0.2">
      <c r="A33" t="s">
        <v>99</v>
      </c>
      <c r="B33">
        <v>54.599998470000003</v>
      </c>
      <c r="C33">
        <v>67.699996949999999</v>
      </c>
    </row>
    <row r="34" spans="1:3" x14ac:dyDescent="0.2">
      <c r="A34" t="s">
        <v>127</v>
      </c>
      <c r="B34">
        <v>55.400001529999997</v>
      </c>
      <c r="C34">
        <v>67.199996949999999</v>
      </c>
    </row>
    <row r="35" spans="1:3" x14ac:dyDescent="0.2">
      <c r="A35" t="s">
        <v>95</v>
      </c>
      <c r="B35">
        <v>55.700000760000002</v>
      </c>
      <c r="C35">
        <v>68.800003050000001</v>
      </c>
    </row>
    <row r="36" spans="1:3" x14ac:dyDescent="0.2">
      <c r="A36" t="s">
        <v>22</v>
      </c>
      <c r="B36">
        <v>55.700000760000002</v>
      </c>
      <c r="C36">
        <v>79</v>
      </c>
    </row>
    <row r="37" spans="1:3" x14ac:dyDescent="0.2">
      <c r="A37" t="s">
        <v>120</v>
      </c>
      <c r="B37">
        <v>55.799999239999998</v>
      </c>
      <c r="C37">
        <v>66.300003050000001</v>
      </c>
    </row>
    <row r="38" spans="1:3" x14ac:dyDescent="0.2">
      <c r="A38" t="s">
        <v>106</v>
      </c>
      <c r="B38">
        <v>55.799999239999998</v>
      </c>
      <c r="C38">
        <v>70.800003050000001</v>
      </c>
    </row>
    <row r="39" spans="1:3" x14ac:dyDescent="0.2">
      <c r="A39" t="s">
        <v>110</v>
      </c>
      <c r="B39">
        <v>56</v>
      </c>
      <c r="C39">
        <v>64.300003050000001</v>
      </c>
    </row>
    <row r="40" spans="1:3" x14ac:dyDescent="0.2">
      <c r="A40" t="s">
        <v>109</v>
      </c>
      <c r="B40">
        <v>56</v>
      </c>
      <c r="C40">
        <v>68.699996949999999</v>
      </c>
    </row>
    <row r="41" spans="1:3" x14ac:dyDescent="0.2">
      <c r="A41" t="s">
        <v>94</v>
      </c>
      <c r="B41">
        <v>56.200000760000002</v>
      </c>
      <c r="C41">
        <v>74.699996949999999</v>
      </c>
    </row>
    <row r="42" spans="1:3" x14ac:dyDescent="0.2">
      <c r="A42" t="s">
        <v>130</v>
      </c>
      <c r="B42">
        <v>57</v>
      </c>
      <c r="C42">
        <v>71.400001529999997</v>
      </c>
    </row>
    <row r="43" spans="1:3" x14ac:dyDescent="0.2">
      <c r="A43" t="s">
        <v>116</v>
      </c>
      <c r="B43">
        <v>58.099998470000003</v>
      </c>
      <c r="C43">
        <v>69.5</v>
      </c>
    </row>
    <row r="44" spans="1:3" x14ac:dyDescent="0.2">
      <c r="A44" t="s">
        <v>40</v>
      </c>
      <c r="B44">
        <v>58.700000760000002</v>
      </c>
      <c r="C44">
        <v>76.900001529999997</v>
      </c>
    </row>
    <row r="45" spans="1:3" x14ac:dyDescent="0.2">
      <c r="A45" t="s">
        <v>108</v>
      </c>
      <c r="B45">
        <v>59.099998470000003</v>
      </c>
      <c r="C45">
        <v>67.5</v>
      </c>
    </row>
    <row r="46" spans="1:3" x14ac:dyDescent="0.2">
      <c r="A46" t="s">
        <v>38</v>
      </c>
      <c r="B46">
        <v>60.200000760000002</v>
      </c>
      <c r="C46">
        <v>68.099998470000003</v>
      </c>
    </row>
    <row r="47" spans="1:3" x14ac:dyDescent="0.2">
      <c r="A47" t="s">
        <v>39</v>
      </c>
      <c r="B47">
        <v>61.200000760000002</v>
      </c>
      <c r="C47">
        <v>75.300003050000001</v>
      </c>
    </row>
    <row r="48" spans="1:3" x14ac:dyDescent="0.2">
      <c r="A48" t="s">
        <v>125</v>
      </c>
      <c r="B48">
        <v>61.5</v>
      </c>
      <c r="C48">
        <v>69.5</v>
      </c>
    </row>
    <row r="49" spans="1:12" x14ac:dyDescent="0.2">
      <c r="A49" t="s">
        <v>100</v>
      </c>
      <c r="B49">
        <v>62.5</v>
      </c>
      <c r="C49">
        <v>68.900001529999997</v>
      </c>
    </row>
    <row r="50" spans="1:12" x14ac:dyDescent="0.2">
      <c r="A50" t="s">
        <v>118</v>
      </c>
      <c r="B50">
        <v>67.5</v>
      </c>
      <c r="C50">
        <v>77.5</v>
      </c>
    </row>
    <row r="51" spans="1:12" x14ac:dyDescent="0.2">
      <c r="A51" t="s">
        <v>114</v>
      </c>
      <c r="B51">
        <v>70.599998470000003</v>
      </c>
      <c r="C51">
        <v>77.300003050000001</v>
      </c>
      <c r="E51" s="202"/>
      <c r="F51" s="203"/>
      <c r="G51" s="203"/>
      <c r="H51" s="203"/>
      <c r="I51" s="203"/>
      <c r="J51" s="203"/>
      <c r="K51" s="203"/>
      <c r="L51" s="204"/>
    </row>
    <row r="52" spans="1:12" x14ac:dyDescent="0.2">
      <c r="A52" t="s">
        <v>124</v>
      </c>
      <c r="B52">
        <v>79.900001529999997</v>
      </c>
      <c r="C52">
        <v>87.300003050000001</v>
      </c>
      <c r="E52" s="205"/>
      <c r="F52" s="197"/>
      <c r="G52" s="197"/>
      <c r="H52" s="197"/>
      <c r="I52" s="197"/>
      <c r="J52" s="197"/>
      <c r="K52" s="197"/>
      <c r="L52" s="206"/>
    </row>
    <row r="53" spans="1:12" x14ac:dyDescent="0.2">
      <c r="E53" s="205"/>
      <c r="F53" s="197"/>
      <c r="G53" s="197"/>
      <c r="H53" s="197"/>
      <c r="I53" s="197"/>
      <c r="J53" s="197"/>
      <c r="K53" s="197"/>
      <c r="L53" s="206"/>
    </row>
    <row r="54" spans="1:12" x14ac:dyDescent="0.2">
      <c r="E54" s="205"/>
      <c r="F54" s="197"/>
      <c r="G54" s="197"/>
      <c r="H54" s="197"/>
      <c r="I54" s="197"/>
      <c r="J54" s="197"/>
      <c r="K54" s="197"/>
      <c r="L54" s="206"/>
    </row>
    <row r="55" spans="1:12" x14ac:dyDescent="0.2">
      <c r="E55" s="205"/>
      <c r="F55" s="197"/>
      <c r="G55" s="197"/>
      <c r="H55" s="197"/>
      <c r="I55" s="197"/>
      <c r="J55" s="197"/>
      <c r="K55" s="197"/>
      <c r="L55" s="206"/>
    </row>
    <row r="56" spans="1:12" x14ac:dyDescent="0.2">
      <c r="E56" s="207"/>
      <c r="F56" s="208"/>
      <c r="G56" s="208"/>
      <c r="H56" s="208"/>
      <c r="I56" s="208"/>
      <c r="J56" s="208"/>
      <c r="K56" s="208"/>
      <c r="L56" s="209"/>
    </row>
    <row r="57" spans="1:12" x14ac:dyDescent="0.2">
      <c r="A57" s="181" t="s">
        <v>535</v>
      </c>
    </row>
    <row r="58" spans="1:12" x14ac:dyDescent="0.2">
      <c r="A58" s="181" t="s">
        <v>561</v>
      </c>
    </row>
    <row r="59" spans="1:12" x14ac:dyDescent="0.2">
      <c r="A59" s="33" t="s">
        <v>562</v>
      </c>
    </row>
    <row r="60" spans="1:12" x14ac:dyDescent="0.2">
      <c r="A60" s="34" t="s">
        <v>153</v>
      </c>
    </row>
  </sheetData>
  <mergeCells count="1">
    <mergeCell ref="E51:L56"/>
  </mergeCells>
  <phoneticPr fontId="7" type="noConversion"/>
  <hyperlinks>
    <hyperlink ref="A60" r:id="rId1"/>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topLeftCell="A29" zoomScaleNormal="70" zoomScalePageLayoutView="70" workbookViewId="0"/>
  </sheetViews>
  <sheetFormatPr baseColWidth="10" defaultColWidth="9.1640625" defaultRowHeight="15" x14ac:dyDescent="0.2"/>
  <sheetData>
    <row r="1" spans="1:6" x14ac:dyDescent="0.2">
      <c r="A1" s="35" t="s">
        <v>465</v>
      </c>
    </row>
    <row r="3" spans="1:6" x14ac:dyDescent="0.2">
      <c r="A3" s="18" t="s">
        <v>306</v>
      </c>
      <c r="B3" s="19">
        <v>42124.340844907405</v>
      </c>
    </row>
    <row r="4" spans="1:6" x14ac:dyDescent="0.2">
      <c r="A4" s="35" t="s">
        <v>161</v>
      </c>
      <c r="B4" s="19">
        <v>42143.702071180553</v>
      </c>
    </row>
    <row r="5" spans="1:6" x14ac:dyDescent="0.2">
      <c r="A5" s="35" t="s">
        <v>162</v>
      </c>
      <c r="B5" s="18" t="s">
        <v>163</v>
      </c>
    </row>
    <row r="7" spans="1:6" x14ac:dyDescent="0.2">
      <c r="A7" s="18" t="s">
        <v>182</v>
      </c>
      <c r="B7" s="18" t="s">
        <v>183</v>
      </c>
    </row>
    <row r="8" spans="1:6" x14ac:dyDescent="0.2">
      <c r="A8" s="18" t="s">
        <v>168</v>
      </c>
      <c r="B8" s="18" t="s">
        <v>184</v>
      </c>
    </row>
    <row r="9" spans="1:6" x14ac:dyDescent="0.2">
      <c r="A9" s="18" t="s">
        <v>169</v>
      </c>
      <c r="B9" s="18" t="s">
        <v>89</v>
      </c>
    </row>
    <row r="11" spans="1:6" x14ac:dyDescent="0.2">
      <c r="A11" s="20" t="s">
        <v>88</v>
      </c>
      <c r="B11" s="20" t="s">
        <v>185</v>
      </c>
      <c r="C11" s="20" t="s">
        <v>186</v>
      </c>
      <c r="D11" s="20">
        <v>2007</v>
      </c>
      <c r="E11" s="20">
        <v>2010</v>
      </c>
      <c r="F11" s="20">
        <v>2014</v>
      </c>
    </row>
    <row r="12" spans="1:6" x14ac:dyDescent="0.2">
      <c r="A12" s="20" t="s">
        <v>125</v>
      </c>
      <c r="B12" s="21">
        <v>3.3</v>
      </c>
      <c r="C12" s="21">
        <v>2.5</v>
      </c>
      <c r="D12" s="21">
        <v>1.8</v>
      </c>
      <c r="E12" s="21">
        <v>2.2000000000000002</v>
      </c>
      <c r="F12" s="21">
        <v>2.7</v>
      </c>
    </row>
    <row r="13" spans="1:6" x14ac:dyDescent="0.2">
      <c r="A13" s="20" t="s">
        <v>82</v>
      </c>
      <c r="B13" s="21">
        <v>10.5</v>
      </c>
      <c r="C13" s="21">
        <v>9.8000000000000007</v>
      </c>
      <c r="D13" s="21">
        <v>8.4</v>
      </c>
      <c r="E13" s="21">
        <v>6.2</v>
      </c>
      <c r="F13" s="21">
        <v>4.4000000000000004</v>
      </c>
    </row>
    <row r="14" spans="1:6" x14ac:dyDescent="0.2">
      <c r="A14" s="20" t="s">
        <v>95</v>
      </c>
      <c r="B14" s="21">
        <v>3.1</v>
      </c>
      <c r="C14" s="21">
        <v>3.6</v>
      </c>
      <c r="D14" s="21">
        <v>3.5</v>
      </c>
      <c r="E14" s="21">
        <v>5</v>
      </c>
      <c r="F14" s="21">
        <v>4.4000000000000004</v>
      </c>
    </row>
    <row r="15" spans="1:6" x14ac:dyDescent="0.2">
      <c r="A15" s="20" t="s">
        <v>114</v>
      </c>
      <c r="B15" s="21">
        <v>1.8</v>
      </c>
      <c r="C15" s="21">
        <v>2</v>
      </c>
      <c r="D15" s="21">
        <v>1.4</v>
      </c>
      <c r="E15" s="21">
        <v>5.0999999999999996</v>
      </c>
      <c r="F15" s="21">
        <v>4.4000000000000004</v>
      </c>
    </row>
    <row r="16" spans="1:6" x14ac:dyDescent="0.2">
      <c r="A16" s="20" t="s">
        <v>122</v>
      </c>
      <c r="B16" s="21">
        <v>5.2</v>
      </c>
      <c r="C16" s="21">
        <v>6.1</v>
      </c>
      <c r="D16" s="21">
        <v>6.5</v>
      </c>
      <c r="E16" s="21">
        <v>5.8</v>
      </c>
      <c r="F16" s="21">
        <v>4.5</v>
      </c>
    </row>
    <row r="17" spans="1:6" x14ac:dyDescent="0.2">
      <c r="A17" s="20" t="s">
        <v>99</v>
      </c>
      <c r="B17" s="21">
        <v>5.0999999999999996</v>
      </c>
      <c r="C17" s="21">
        <v>4.9000000000000004</v>
      </c>
      <c r="D17" s="21">
        <v>4.5999999999999996</v>
      </c>
      <c r="E17" s="21">
        <v>3.9</v>
      </c>
      <c r="F17" s="21">
        <v>4.7</v>
      </c>
    </row>
    <row r="18" spans="1:6" x14ac:dyDescent="0.2">
      <c r="A18" s="20" t="s">
        <v>129</v>
      </c>
      <c r="B18" s="21">
        <v>5</v>
      </c>
      <c r="C18" s="21">
        <v>4.5999999999999996</v>
      </c>
      <c r="D18" s="21">
        <v>4</v>
      </c>
      <c r="E18" s="21">
        <v>4.9000000000000004</v>
      </c>
      <c r="F18" s="21">
        <v>4.8</v>
      </c>
    </row>
    <row r="19" spans="1:6" x14ac:dyDescent="0.2">
      <c r="A19" s="20" t="s">
        <v>121</v>
      </c>
      <c r="B19" s="21">
        <v>5.0999999999999996</v>
      </c>
      <c r="C19" s="21">
        <v>5.2</v>
      </c>
      <c r="D19" s="21">
        <v>4.2</v>
      </c>
      <c r="E19" s="21">
        <v>4.9000000000000004</v>
      </c>
      <c r="F19" s="21">
        <v>5.3</v>
      </c>
    </row>
    <row r="20" spans="1:6" x14ac:dyDescent="0.2">
      <c r="A20" s="20" t="s">
        <v>38</v>
      </c>
      <c r="B20" s="21">
        <v>5.5</v>
      </c>
      <c r="C20" s="21">
        <v>5.0999999999999996</v>
      </c>
      <c r="D20" s="21">
        <v>4.4000000000000004</v>
      </c>
      <c r="E20" s="21">
        <v>6.2</v>
      </c>
      <c r="F20" s="21">
        <v>5.6</v>
      </c>
    </row>
    <row r="21" spans="1:6" x14ac:dyDescent="0.2">
      <c r="A21" s="20" t="s">
        <v>108</v>
      </c>
      <c r="B21" s="22" t="s">
        <v>58</v>
      </c>
      <c r="C21" s="22" t="s">
        <v>58</v>
      </c>
      <c r="D21" s="21">
        <v>3.6</v>
      </c>
      <c r="E21" s="21">
        <v>5.4</v>
      </c>
      <c r="F21" s="21">
        <v>6</v>
      </c>
    </row>
    <row r="22" spans="1:6" x14ac:dyDescent="0.2">
      <c r="A22" s="20" t="s">
        <v>110</v>
      </c>
      <c r="B22" s="21">
        <v>7</v>
      </c>
      <c r="C22" s="21">
        <v>6.6</v>
      </c>
      <c r="D22" s="21">
        <v>5.7</v>
      </c>
      <c r="E22" s="21">
        <v>6</v>
      </c>
      <c r="F22" s="21">
        <v>6.4</v>
      </c>
    </row>
    <row r="23" spans="1:6" x14ac:dyDescent="0.2">
      <c r="A23" s="20" t="s">
        <v>109</v>
      </c>
      <c r="B23" s="21">
        <v>6.2</v>
      </c>
      <c r="C23" s="21">
        <v>4.7</v>
      </c>
      <c r="D23" s="21">
        <v>3.4</v>
      </c>
      <c r="E23" s="21">
        <v>12.6</v>
      </c>
      <c r="F23" s="21">
        <v>6.5</v>
      </c>
    </row>
    <row r="24" spans="1:6" x14ac:dyDescent="0.2">
      <c r="A24" s="20" t="s">
        <v>102</v>
      </c>
      <c r="B24" s="21">
        <v>8.1999999999999993</v>
      </c>
      <c r="C24" s="21">
        <v>7.9</v>
      </c>
      <c r="D24" s="21">
        <v>7.2</v>
      </c>
      <c r="E24" s="21">
        <v>7.2</v>
      </c>
      <c r="F24" s="21">
        <v>6.7</v>
      </c>
    </row>
    <row r="25" spans="1:6" x14ac:dyDescent="0.2">
      <c r="A25" s="20" t="s">
        <v>124</v>
      </c>
      <c r="B25" s="21">
        <v>6.1</v>
      </c>
      <c r="C25" s="21">
        <v>5.4</v>
      </c>
      <c r="D25" s="21">
        <v>4.4000000000000004</v>
      </c>
      <c r="E25" s="21">
        <v>4.5999999999999996</v>
      </c>
      <c r="F25" s="21">
        <v>6.7</v>
      </c>
    </row>
    <row r="26" spans="1:6" x14ac:dyDescent="0.2">
      <c r="A26" s="20" t="s">
        <v>107</v>
      </c>
      <c r="B26" s="21">
        <v>9</v>
      </c>
      <c r="C26" s="21">
        <v>7.9</v>
      </c>
      <c r="D26" s="21">
        <v>6.4</v>
      </c>
      <c r="E26" s="21">
        <v>7.7</v>
      </c>
      <c r="F26" s="21">
        <v>6.8</v>
      </c>
    </row>
    <row r="27" spans="1:6" x14ac:dyDescent="0.2">
      <c r="A27" s="20" t="s">
        <v>113</v>
      </c>
      <c r="B27" s="21">
        <v>6.4</v>
      </c>
      <c r="C27" s="21">
        <v>6.9</v>
      </c>
      <c r="D27" s="21">
        <v>6.8</v>
      </c>
      <c r="E27" s="21">
        <v>9.6999999999999993</v>
      </c>
      <c r="F27" s="21">
        <v>6.9</v>
      </c>
    </row>
    <row r="28" spans="1:6" x14ac:dyDescent="0.2">
      <c r="A28" s="20" t="s">
        <v>115</v>
      </c>
      <c r="B28" s="21">
        <v>3.2</v>
      </c>
      <c r="C28" s="21">
        <v>3.4</v>
      </c>
      <c r="D28" s="21">
        <v>3.5</v>
      </c>
      <c r="E28" s="21">
        <v>8.1</v>
      </c>
      <c r="F28" s="21">
        <v>8.1999999999999993</v>
      </c>
    </row>
    <row r="29" spans="1:6" x14ac:dyDescent="0.2">
      <c r="A29" s="20" t="s">
        <v>126</v>
      </c>
      <c r="B29" s="21">
        <v>16.8</v>
      </c>
      <c r="C29" s="21">
        <v>12.9</v>
      </c>
      <c r="D29" s="21">
        <v>8.6999999999999993</v>
      </c>
      <c r="E29" s="21">
        <v>8.4</v>
      </c>
      <c r="F29" s="21">
        <v>8.3000000000000007</v>
      </c>
    </row>
    <row r="30" spans="1:6" x14ac:dyDescent="0.2">
      <c r="A30" s="20" t="s">
        <v>120</v>
      </c>
      <c r="B30" s="21">
        <v>8.1</v>
      </c>
      <c r="C30" s="21">
        <v>5.3</v>
      </c>
      <c r="D30" s="21">
        <v>3.9</v>
      </c>
      <c r="E30" s="21">
        <v>13.2</v>
      </c>
      <c r="F30" s="21">
        <v>8.5</v>
      </c>
    </row>
    <row r="31" spans="1:6" x14ac:dyDescent="0.2">
      <c r="A31" s="20" t="s">
        <v>111</v>
      </c>
      <c r="B31" s="21">
        <v>8.3000000000000007</v>
      </c>
      <c r="C31" s="21">
        <v>8</v>
      </c>
      <c r="D31" s="21">
        <v>7.2</v>
      </c>
      <c r="E31" s="21">
        <v>8</v>
      </c>
      <c r="F31" s="21">
        <v>8.8000000000000007</v>
      </c>
    </row>
    <row r="32" spans="1:6" x14ac:dyDescent="0.2">
      <c r="A32" s="20" t="s">
        <v>119</v>
      </c>
      <c r="B32" s="21">
        <v>9</v>
      </c>
      <c r="C32" s="21">
        <v>5.6</v>
      </c>
      <c r="D32" s="21">
        <v>5</v>
      </c>
      <c r="E32" s="21">
        <v>14.2</v>
      </c>
      <c r="F32" s="21">
        <v>9</v>
      </c>
    </row>
    <row r="33" spans="1:14" x14ac:dyDescent="0.2">
      <c r="A33" s="20" t="s">
        <v>104</v>
      </c>
      <c r="B33" s="21">
        <v>9</v>
      </c>
      <c r="C33" s="21">
        <v>8.5</v>
      </c>
      <c r="D33" s="21">
        <v>6.7</v>
      </c>
      <c r="E33" s="21">
        <v>8.8000000000000007</v>
      </c>
      <c r="F33" s="21">
        <v>9.6999999999999993</v>
      </c>
    </row>
    <row r="34" spans="1:14" x14ac:dyDescent="0.2">
      <c r="A34" s="20" t="s">
        <v>36</v>
      </c>
      <c r="B34" s="21">
        <v>5.9</v>
      </c>
      <c r="C34" s="21">
        <v>6.2</v>
      </c>
      <c r="D34" s="21">
        <v>5.3</v>
      </c>
      <c r="E34" s="21">
        <v>6.5</v>
      </c>
      <c r="F34" s="21">
        <v>9.9</v>
      </c>
    </row>
    <row r="35" spans="1:14" x14ac:dyDescent="0.2">
      <c r="A35" s="20" t="s">
        <v>117</v>
      </c>
      <c r="B35" s="21">
        <v>8.4</v>
      </c>
      <c r="C35" s="21">
        <v>7.3</v>
      </c>
      <c r="D35" s="21">
        <v>6.6</v>
      </c>
      <c r="E35" s="21">
        <v>8.1999999999999993</v>
      </c>
      <c r="F35" s="21">
        <v>11.8</v>
      </c>
    </row>
    <row r="36" spans="1:14" x14ac:dyDescent="0.2">
      <c r="A36" s="20" t="s">
        <v>35</v>
      </c>
      <c r="B36" s="21">
        <v>15.7</v>
      </c>
      <c r="C36" s="21">
        <v>13.3</v>
      </c>
      <c r="D36" s="21">
        <v>11.8</v>
      </c>
      <c r="E36" s="21">
        <v>13.1</v>
      </c>
      <c r="F36" s="21">
        <v>12.5</v>
      </c>
    </row>
    <row r="37" spans="1:14" x14ac:dyDescent="0.2">
      <c r="A37" s="20" t="s">
        <v>106</v>
      </c>
      <c r="B37" s="21">
        <v>5.4</v>
      </c>
      <c r="C37" s="21">
        <v>4.7</v>
      </c>
      <c r="D37" s="21">
        <v>4</v>
      </c>
      <c r="E37" s="21">
        <v>5.0999999999999996</v>
      </c>
      <c r="F37" s="21">
        <v>12.8</v>
      </c>
    </row>
    <row r="38" spans="1:14" x14ac:dyDescent="0.2">
      <c r="A38" s="20" t="s">
        <v>127</v>
      </c>
      <c r="B38" s="21">
        <v>7.1</v>
      </c>
      <c r="C38" s="21">
        <v>7.7</v>
      </c>
      <c r="D38" s="21">
        <v>8.1</v>
      </c>
      <c r="E38" s="21">
        <v>10.6</v>
      </c>
      <c r="F38" s="21">
        <v>12.8</v>
      </c>
    </row>
    <row r="39" spans="1:14" x14ac:dyDescent="0.2">
      <c r="A39" s="20" t="s">
        <v>81</v>
      </c>
      <c r="B39" s="21">
        <v>11.9</v>
      </c>
      <c r="C39" s="21">
        <v>11.3</v>
      </c>
      <c r="D39" s="21">
        <v>9.5</v>
      </c>
      <c r="E39" s="21">
        <v>10.3</v>
      </c>
      <c r="F39" s="21">
        <v>15.9</v>
      </c>
    </row>
    <row r="40" spans="1:14" x14ac:dyDescent="0.2">
      <c r="A40" s="20" t="s">
        <v>37</v>
      </c>
      <c r="B40" s="21">
        <v>10.4</v>
      </c>
      <c r="C40" s="21">
        <v>10</v>
      </c>
      <c r="D40" s="21">
        <v>9.3000000000000007</v>
      </c>
      <c r="E40" s="21">
        <v>18.3</v>
      </c>
      <c r="F40" s="21">
        <v>23.4</v>
      </c>
    </row>
    <row r="41" spans="1:14" x14ac:dyDescent="0.2">
      <c r="A41" s="20" t="s">
        <v>32</v>
      </c>
      <c r="B41" s="21">
        <v>13.3</v>
      </c>
      <c r="C41" s="21">
        <v>11.7</v>
      </c>
      <c r="D41" s="21">
        <v>11.2</v>
      </c>
      <c r="E41" s="21">
        <v>14.4</v>
      </c>
      <c r="F41" s="21">
        <v>28.2</v>
      </c>
    </row>
    <row r="43" spans="1:14" x14ac:dyDescent="0.2">
      <c r="A43" s="18" t="s">
        <v>55</v>
      </c>
      <c r="D43" s="36">
        <f>SUM(D12:D41)</f>
        <v>177.10000000000002</v>
      </c>
      <c r="F43" s="36">
        <f>SUM(F12:F41)</f>
        <v>266.60000000000002</v>
      </c>
    </row>
    <row r="44" spans="1:14" x14ac:dyDescent="0.2">
      <c r="A44" s="18" t="s">
        <v>58</v>
      </c>
      <c r="B44" s="18" t="s">
        <v>59</v>
      </c>
      <c r="D44">
        <f>D43/30</f>
        <v>5.9033333333333342</v>
      </c>
      <c r="F44">
        <f>F43/30</f>
        <v>8.8866666666666667</v>
      </c>
    </row>
    <row r="46" spans="1:14" ht="15" customHeight="1" x14ac:dyDescent="0.2">
      <c r="H46" s="193" t="s">
        <v>405</v>
      </c>
      <c r="I46" s="194"/>
      <c r="J46" s="194"/>
      <c r="K46" s="194"/>
      <c r="L46" s="194"/>
      <c r="M46" s="194"/>
      <c r="N46" s="195"/>
    </row>
    <row r="47" spans="1:14" x14ac:dyDescent="0.2">
      <c r="H47" s="196"/>
      <c r="I47" s="197"/>
      <c r="J47" s="197"/>
      <c r="K47" s="197"/>
      <c r="L47" s="197"/>
      <c r="M47" s="197"/>
      <c r="N47" s="198"/>
    </row>
    <row r="48" spans="1:14" x14ac:dyDescent="0.2">
      <c r="H48" s="196"/>
      <c r="I48" s="197"/>
      <c r="J48" s="197"/>
      <c r="K48" s="197"/>
      <c r="L48" s="197"/>
      <c r="M48" s="197"/>
      <c r="N48" s="198"/>
    </row>
    <row r="49" spans="8:14" x14ac:dyDescent="0.2">
      <c r="H49" s="196"/>
      <c r="I49" s="197"/>
      <c r="J49" s="197"/>
      <c r="K49" s="197"/>
      <c r="L49" s="197"/>
      <c r="M49" s="197"/>
      <c r="N49" s="198"/>
    </row>
    <row r="50" spans="8:14" x14ac:dyDescent="0.2">
      <c r="H50" s="196"/>
      <c r="I50" s="197"/>
      <c r="J50" s="197"/>
      <c r="K50" s="197"/>
      <c r="L50" s="197"/>
      <c r="M50" s="197"/>
      <c r="N50" s="198"/>
    </row>
    <row r="51" spans="8:14" x14ac:dyDescent="0.2">
      <c r="H51" s="196"/>
      <c r="I51" s="197"/>
      <c r="J51" s="197"/>
      <c r="K51" s="197"/>
      <c r="L51" s="197"/>
      <c r="M51" s="197"/>
      <c r="N51" s="198"/>
    </row>
    <row r="52" spans="8:14" x14ac:dyDescent="0.2">
      <c r="H52" s="196"/>
      <c r="I52" s="197"/>
      <c r="J52" s="197"/>
      <c r="K52" s="197"/>
      <c r="L52" s="197"/>
      <c r="M52" s="197"/>
      <c r="N52" s="198"/>
    </row>
    <row r="53" spans="8:14" x14ac:dyDescent="0.2">
      <c r="H53" s="196"/>
      <c r="I53" s="197"/>
      <c r="J53" s="197"/>
      <c r="K53" s="197"/>
      <c r="L53" s="197"/>
      <c r="M53" s="197"/>
      <c r="N53" s="198"/>
    </row>
    <row r="54" spans="8:14" x14ac:dyDescent="0.2">
      <c r="H54" s="196"/>
      <c r="I54" s="197"/>
      <c r="J54" s="197"/>
      <c r="K54" s="197"/>
      <c r="L54" s="197"/>
      <c r="M54" s="197"/>
      <c r="N54" s="198"/>
    </row>
    <row r="55" spans="8:14" x14ac:dyDescent="0.2">
      <c r="H55" s="196"/>
      <c r="I55" s="197"/>
      <c r="J55" s="197"/>
      <c r="K55" s="197"/>
      <c r="L55" s="197"/>
      <c r="M55" s="197"/>
      <c r="N55" s="198"/>
    </row>
    <row r="56" spans="8:14" x14ac:dyDescent="0.2">
      <c r="H56" s="196"/>
      <c r="I56" s="197"/>
      <c r="J56" s="197"/>
      <c r="K56" s="197"/>
      <c r="L56" s="197"/>
      <c r="M56" s="197"/>
      <c r="N56" s="198"/>
    </row>
    <row r="57" spans="8:14" x14ac:dyDescent="0.2">
      <c r="H57" s="196"/>
      <c r="I57" s="197"/>
      <c r="J57" s="197"/>
      <c r="K57" s="197"/>
      <c r="L57" s="197"/>
      <c r="M57" s="197"/>
      <c r="N57" s="198"/>
    </row>
    <row r="58" spans="8:14" x14ac:dyDescent="0.2">
      <c r="H58" s="199"/>
      <c r="I58" s="200"/>
      <c r="J58" s="200"/>
      <c r="K58" s="200"/>
      <c r="L58" s="200"/>
      <c r="M58" s="200"/>
      <c r="N58" s="201"/>
    </row>
  </sheetData>
  <mergeCells count="1">
    <mergeCell ref="H46:N58"/>
  </mergeCells>
  <phoneticPr fontId="7"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6"/>
  <sheetViews>
    <sheetView topLeftCell="A19" zoomScaleNormal="70" zoomScalePageLayoutView="70" workbookViewId="0">
      <selection activeCell="A36" sqref="A36"/>
    </sheetView>
  </sheetViews>
  <sheetFormatPr baseColWidth="10" defaultColWidth="8.83203125" defaultRowHeight="15" x14ac:dyDescent="0.2"/>
  <cols>
    <col min="1" max="1" width="8.83203125" customWidth="1"/>
  </cols>
  <sheetData>
    <row r="1" spans="1:19" x14ac:dyDescent="0.2">
      <c r="A1" t="s">
        <v>546</v>
      </c>
    </row>
    <row r="2" spans="1:19" x14ac:dyDescent="0.2">
      <c r="A2" t="s">
        <v>49</v>
      </c>
    </row>
    <row r="3" spans="1:19" x14ac:dyDescent="0.2">
      <c r="A3" t="s">
        <v>48</v>
      </c>
      <c r="B3" t="s">
        <v>175</v>
      </c>
      <c r="C3" t="s">
        <v>75</v>
      </c>
    </row>
    <row r="4" spans="1:19" ht="21" customHeight="1" x14ac:dyDescent="0.2">
      <c r="A4" t="s">
        <v>551</v>
      </c>
      <c r="B4">
        <v>16.399999999999999</v>
      </c>
      <c r="C4" t="s">
        <v>46</v>
      </c>
    </row>
    <row r="5" spans="1:19" x14ac:dyDescent="0.2">
      <c r="A5" t="s">
        <v>102</v>
      </c>
      <c r="B5">
        <v>9.8000000000000007</v>
      </c>
      <c r="C5" t="s">
        <v>75</v>
      </c>
      <c r="I5" s="212" t="s">
        <v>547</v>
      </c>
      <c r="J5" s="212"/>
      <c r="K5" s="212"/>
      <c r="L5" s="212"/>
      <c r="M5" s="212"/>
      <c r="N5" s="212"/>
      <c r="O5" s="212"/>
      <c r="P5" s="212"/>
      <c r="Q5" s="212"/>
      <c r="R5" s="212"/>
      <c r="S5" s="212"/>
    </row>
    <row r="6" spans="1:19" x14ac:dyDescent="0.2">
      <c r="A6" t="s">
        <v>104</v>
      </c>
      <c r="B6">
        <v>13.5</v>
      </c>
      <c r="C6" t="s">
        <v>75</v>
      </c>
      <c r="I6" s="212"/>
      <c r="J6" s="212"/>
      <c r="K6" s="212"/>
      <c r="L6" s="212"/>
      <c r="M6" s="212"/>
      <c r="N6" s="212"/>
      <c r="O6" s="212"/>
      <c r="P6" s="212"/>
      <c r="Q6" s="212"/>
      <c r="R6" s="212"/>
      <c r="S6" s="212"/>
    </row>
    <row r="7" spans="1:19" x14ac:dyDescent="0.2">
      <c r="A7" t="s">
        <v>107</v>
      </c>
      <c r="B7">
        <v>22.1</v>
      </c>
      <c r="C7" t="s">
        <v>75</v>
      </c>
    </row>
    <row r="8" spans="1:19" x14ac:dyDescent="0.2">
      <c r="A8" t="s">
        <v>108</v>
      </c>
      <c r="B8">
        <v>16.399999999999999</v>
      </c>
      <c r="C8" t="s">
        <v>75</v>
      </c>
    </row>
    <row r="9" spans="1:19" x14ac:dyDescent="0.2">
      <c r="A9" t="s">
        <v>82</v>
      </c>
      <c r="B9">
        <v>21.6</v>
      </c>
      <c r="C9" t="s">
        <v>46</v>
      </c>
    </row>
    <row r="10" spans="1:19" x14ac:dyDescent="0.2">
      <c r="A10" t="s">
        <v>109</v>
      </c>
      <c r="B10">
        <v>29.9</v>
      </c>
      <c r="C10" t="s">
        <v>75</v>
      </c>
    </row>
    <row r="11" spans="1:19" x14ac:dyDescent="0.2">
      <c r="A11" t="s">
        <v>37</v>
      </c>
      <c r="B11">
        <v>19.3</v>
      </c>
      <c r="C11" t="s">
        <v>46</v>
      </c>
    </row>
    <row r="12" spans="1:19" x14ac:dyDescent="0.2">
      <c r="A12" t="s">
        <v>111</v>
      </c>
      <c r="B12">
        <v>15.2</v>
      </c>
      <c r="C12" t="s">
        <v>46</v>
      </c>
    </row>
    <row r="13" spans="1:19" x14ac:dyDescent="0.2">
      <c r="A13" t="s">
        <v>81</v>
      </c>
      <c r="B13">
        <v>7.4</v>
      </c>
      <c r="C13" t="s">
        <v>46</v>
      </c>
    </row>
    <row r="14" spans="1:19" x14ac:dyDescent="0.2">
      <c r="A14" t="s">
        <v>117</v>
      </c>
      <c r="B14">
        <v>7.3</v>
      </c>
      <c r="C14" t="s">
        <v>75</v>
      </c>
    </row>
    <row r="15" spans="1:19" x14ac:dyDescent="0.2">
      <c r="A15" t="s">
        <v>106</v>
      </c>
      <c r="B15">
        <v>15.8</v>
      </c>
      <c r="C15" t="s">
        <v>75</v>
      </c>
    </row>
    <row r="16" spans="1:19" x14ac:dyDescent="0.2">
      <c r="A16" t="s">
        <v>119</v>
      </c>
      <c r="B16">
        <v>14.4</v>
      </c>
      <c r="C16" t="s">
        <v>75</v>
      </c>
    </row>
    <row r="17" spans="1:31" x14ac:dyDescent="0.2">
      <c r="A17" t="s">
        <v>120</v>
      </c>
      <c r="B17">
        <v>13.3</v>
      </c>
      <c r="C17" t="s">
        <v>75</v>
      </c>
    </row>
    <row r="18" spans="1:31" x14ac:dyDescent="0.2">
      <c r="A18" t="s">
        <v>121</v>
      </c>
      <c r="B18">
        <v>8.6</v>
      </c>
      <c r="C18" t="s">
        <v>46</v>
      </c>
    </row>
    <row r="19" spans="1:31" x14ac:dyDescent="0.2">
      <c r="A19" t="s">
        <v>113</v>
      </c>
      <c r="B19">
        <v>18.399999999999999</v>
      </c>
      <c r="C19" t="s">
        <v>75</v>
      </c>
    </row>
    <row r="20" spans="1:31" x14ac:dyDescent="0.2">
      <c r="A20" t="s">
        <v>122</v>
      </c>
      <c r="B20">
        <v>5.0999999999999996</v>
      </c>
      <c r="C20" t="s">
        <v>75</v>
      </c>
      <c r="U20" s="191"/>
      <c r="V20" s="192"/>
      <c r="W20" s="192"/>
      <c r="X20" s="192"/>
      <c r="Y20" s="192"/>
      <c r="Z20" s="192"/>
      <c r="AA20" s="192"/>
      <c r="AB20" s="192"/>
      <c r="AC20" s="192"/>
      <c r="AD20" s="192"/>
      <c r="AE20" s="192"/>
    </row>
    <row r="21" spans="1:31" x14ac:dyDescent="0.2">
      <c r="A21" t="s">
        <v>124</v>
      </c>
      <c r="B21">
        <v>16</v>
      </c>
      <c r="C21" t="s">
        <v>75</v>
      </c>
      <c r="U21" s="192"/>
      <c r="V21" s="192"/>
      <c r="W21" s="192"/>
      <c r="X21" s="192"/>
      <c r="Y21" s="192"/>
      <c r="Z21" s="192"/>
      <c r="AA21" s="192"/>
      <c r="AB21" s="192"/>
      <c r="AC21" s="192"/>
      <c r="AD21" s="192"/>
      <c r="AE21" s="192"/>
    </row>
    <row r="22" spans="1:31" x14ac:dyDescent="0.2">
      <c r="A22" t="s">
        <v>99</v>
      </c>
      <c r="B22">
        <v>23</v>
      </c>
      <c r="C22" t="s">
        <v>75</v>
      </c>
      <c r="U22" s="192"/>
      <c r="V22" s="192"/>
      <c r="W22" s="192"/>
      <c r="X22" s="192"/>
      <c r="Y22" s="192"/>
      <c r="Z22" s="192"/>
      <c r="AA22" s="192"/>
      <c r="AB22" s="192"/>
      <c r="AC22" s="192"/>
      <c r="AD22" s="192"/>
      <c r="AE22" s="192"/>
    </row>
    <row r="23" spans="1:31" x14ac:dyDescent="0.2">
      <c r="A23" t="s">
        <v>126</v>
      </c>
      <c r="B23">
        <v>6.4</v>
      </c>
      <c r="C23" t="s">
        <v>46</v>
      </c>
      <c r="U23" s="192"/>
      <c r="V23" s="192"/>
      <c r="W23" s="192"/>
      <c r="X23" s="192"/>
      <c r="Y23" s="192"/>
      <c r="Z23" s="192"/>
      <c r="AA23" s="192"/>
      <c r="AB23" s="192"/>
      <c r="AC23" s="192"/>
      <c r="AD23" s="192"/>
      <c r="AE23" s="192"/>
    </row>
    <row r="24" spans="1:31" x14ac:dyDescent="0.2">
      <c r="A24" t="s">
        <v>127</v>
      </c>
      <c r="B24">
        <v>13</v>
      </c>
      <c r="C24" t="s">
        <v>75</v>
      </c>
      <c r="U24" s="192"/>
      <c r="V24" s="192"/>
      <c r="W24" s="192"/>
      <c r="X24" s="192"/>
      <c r="Y24" s="192"/>
      <c r="Z24" s="192"/>
      <c r="AA24" s="192"/>
      <c r="AB24" s="192"/>
      <c r="AC24" s="192"/>
      <c r="AD24" s="192"/>
      <c r="AE24" s="192"/>
    </row>
    <row r="25" spans="1:31" x14ac:dyDescent="0.2">
      <c r="A25" t="s">
        <v>129</v>
      </c>
      <c r="B25">
        <v>9.1</v>
      </c>
      <c r="C25" t="s">
        <v>47</v>
      </c>
      <c r="U25" s="192"/>
      <c r="V25" s="192"/>
      <c r="W25" s="192"/>
      <c r="X25" s="192"/>
      <c r="Y25" s="192"/>
      <c r="Z25" s="192"/>
      <c r="AA25" s="192"/>
      <c r="AB25" s="192"/>
      <c r="AC25" s="192"/>
      <c r="AD25" s="192"/>
      <c r="AE25" s="192"/>
    </row>
    <row r="26" spans="1:31" x14ac:dyDescent="0.2">
      <c r="A26" t="s">
        <v>36</v>
      </c>
      <c r="B26">
        <v>3.2</v>
      </c>
      <c r="C26" t="s">
        <v>75</v>
      </c>
      <c r="U26" s="192"/>
      <c r="V26" s="192"/>
      <c r="W26" s="192"/>
      <c r="X26" s="192"/>
      <c r="Y26" s="192"/>
      <c r="Z26" s="192"/>
      <c r="AA26" s="192"/>
      <c r="AB26" s="192"/>
      <c r="AC26" s="192"/>
      <c r="AD26" s="192"/>
      <c r="AE26" s="192"/>
    </row>
    <row r="27" spans="1:31" x14ac:dyDescent="0.2">
      <c r="A27" t="s">
        <v>35</v>
      </c>
      <c r="B27">
        <v>19.8</v>
      </c>
      <c r="C27" t="s">
        <v>75</v>
      </c>
      <c r="U27" s="192"/>
      <c r="V27" s="192"/>
      <c r="W27" s="192"/>
      <c r="X27" s="192"/>
      <c r="Y27" s="192"/>
      <c r="Z27" s="192"/>
      <c r="AA27" s="192"/>
      <c r="AB27" s="192"/>
      <c r="AC27" s="192"/>
      <c r="AD27" s="192"/>
      <c r="AE27" s="192"/>
    </row>
    <row r="28" spans="1:31" x14ac:dyDescent="0.2">
      <c r="A28" t="s">
        <v>110</v>
      </c>
      <c r="B28">
        <v>18.7</v>
      </c>
      <c r="C28" t="s">
        <v>46</v>
      </c>
      <c r="U28" s="192"/>
      <c r="V28" s="192"/>
      <c r="W28" s="192"/>
      <c r="X28" s="192"/>
      <c r="Y28" s="192"/>
      <c r="Z28" s="192"/>
      <c r="AA28" s="192"/>
      <c r="AB28" s="192"/>
      <c r="AC28" s="192"/>
      <c r="AD28" s="192"/>
      <c r="AE28" s="192"/>
    </row>
    <row r="29" spans="1:31" x14ac:dyDescent="0.2">
      <c r="A29" t="s">
        <v>38</v>
      </c>
      <c r="B29">
        <v>15.2</v>
      </c>
      <c r="C29" t="s">
        <v>75</v>
      </c>
      <c r="U29" s="192"/>
      <c r="V29" s="192"/>
      <c r="W29" s="192"/>
      <c r="X29" s="192"/>
      <c r="Y29" s="192"/>
      <c r="Z29" s="192"/>
      <c r="AA29" s="192"/>
      <c r="AB29" s="192"/>
      <c r="AC29" s="192"/>
      <c r="AD29" s="192"/>
      <c r="AE29" s="192"/>
    </row>
    <row r="30" spans="1:31" x14ac:dyDescent="0.2">
      <c r="A30" t="s">
        <v>95</v>
      </c>
      <c r="B30">
        <v>19.7</v>
      </c>
      <c r="C30" t="s">
        <v>75</v>
      </c>
      <c r="U30" s="192"/>
      <c r="V30" s="192"/>
      <c r="W30" s="192"/>
      <c r="X30" s="192"/>
      <c r="Y30" s="192"/>
      <c r="Z30" s="192"/>
      <c r="AA30" s="192"/>
      <c r="AB30" s="192"/>
      <c r="AC30" s="192"/>
      <c r="AD30" s="192"/>
      <c r="AE30" s="192"/>
    </row>
    <row r="31" spans="1:31" x14ac:dyDescent="0.2">
      <c r="A31" t="s">
        <v>114</v>
      </c>
      <c r="B31">
        <v>20.5</v>
      </c>
      <c r="C31" t="s">
        <v>75</v>
      </c>
    </row>
    <row r="32" spans="1:31" x14ac:dyDescent="0.2">
      <c r="A32" t="s">
        <v>125</v>
      </c>
      <c r="B32">
        <v>16</v>
      </c>
      <c r="C32" t="s">
        <v>75</v>
      </c>
    </row>
    <row r="33" spans="1:3" x14ac:dyDescent="0.2">
      <c r="A33" t="s">
        <v>39</v>
      </c>
      <c r="B33">
        <v>19.3</v>
      </c>
      <c r="C33" t="s">
        <v>75</v>
      </c>
    </row>
    <row r="34" spans="1:3" x14ac:dyDescent="0.2">
      <c r="A34" t="s">
        <v>550</v>
      </c>
    </row>
    <row r="35" spans="1:3" x14ac:dyDescent="0.2">
      <c r="B35" t="s">
        <v>75</v>
      </c>
    </row>
    <row r="36" spans="1:3" s="181" customFormat="1" x14ac:dyDescent="0.2">
      <c r="A36" s="181" t="s">
        <v>548</v>
      </c>
    </row>
    <row r="37" spans="1:3" s="181" customFormat="1" x14ac:dyDescent="0.2">
      <c r="A37" s="181" t="s">
        <v>563</v>
      </c>
    </row>
    <row r="38" spans="1:3" s="181" customFormat="1" x14ac:dyDescent="0.2">
      <c r="A38" s="181" t="s">
        <v>564</v>
      </c>
    </row>
    <row r="39" spans="1:3" s="181" customFormat="1" x14ac:dyDescent="0.2"/>
    <row r="40" spans="1:3" ht="50" customHeight="1" x14ac:dyDescent="0.2">
      <c r="A40" t="s">
        <v>549</v>
      </c>
    </row>
    <row r="41" spans="1:3" x14ac:dyDescent="0.2">
      <c r="A41" t="s">
        <v>140</v>
      </c>
      <c r="B41" t="s">
        <v>139</v>
      </c>
    </row>
    <row r="42" spans="1:3" x14ac:dyDescent="0.2">
      <c r="A42" t="s">
        <v>138</v>
      </c>
      <c r="B42" t="s">
        <v>137</v>
      </c>
    </row>
    <row r="43" spans="1:3" x14ac:dyDescent="0.2">
      <c r="A43" t="s">
        <v>136</v>
      </c>
      <c r="B43" t="s">
        <v>135</v>
      </c>
    </row>
    <row r="44" spans="1:3" x14ac:dyDescent="0.2">
      <c r="A44" t="s">
        <v>134</v>
      </c>
      <c r="B44" t="s">
        <v>133</v>
      </c>
    </row>
    <row r="45" spans="1:3" x14ac:dyDescent="0.2">
      <c r="A45" t="s">
        <v>132</v>
      </c>
      <c r="B45" t="s">
        <v>131</v>
      </c>
    </row>
    <row r="46" spans="1:3" x14ac:dyDescent="0.2">
      <c r="A46" t="s">
        <v>207</v>
      </c>
      <c r="B46" t="s">
        <v>206</v>
      </c>
    </row>
  </sheetData>
  <mergeCells count="2">
    <mergeCell ref="I5:S6"/>
    <mergeCell ref="U20:AE30"/>
  </mergeCells>
  <phoneticPr fontId="7"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zoomScaleNormal="70" zoomScalePageLayoutView="70" workbookViewId="0">
      <selection activeCell="P12" sqref="P12"/>
    </sheetView>
  </sheetViews>
  <sheetFormatPr baseColWidth="10" defaultColWidth="9.1640625" defaultRowHeight="15" x14ac:dyDescent="0.2"/>
  <sheetData>
    <row r="1" spans="1:13" x14ac:dyDescent="0.2">
      <c r="A1" s="3" t="s">
        <v>464</v>
      </c>
    </row>
    <row r="3" spans="1:13" x14ac:dyDescent="0.2">
      <c r="A3" t="s">
        <v>190</v>
      </c>
      <c r="D3" t="s">
        <v>398</v>
      </c>
    </row>
    <row r="4" spans="1:13" x14ac:dyDescent="0.2">
      <c r="A4" t="s">
        <v>399</v>
      </c>
    </row>
    <row r="5" spans="1:13" x14ac:dyDescent="0.2">
      <c r="B5" s="213" t="s">
        <v>89</v>
      </c>
      <c r="C5" s="213" t="s">
        <v>191</v>
      </c>
      <c r="D5" s="213" t="s">
        <v>192</v>
      </c>
    </row>
    <row r="6" spans="1:13" x14ac:dyDescent="0.2">
      <c r="B6" s="213"/>
      <c r="C6" s="213"/>
      <c r="D6" s="213"/>
    </row>
    <row r="7" spans="1:13" x14ac:dyDescent="0.2">
      <c r="A7" t="s">
        <v>193</v>
      </c>
      <c r="B7">
        <v>25.4</v>
      </c>
      <c r="C7">
        <v>23.6</v>
      </c>
      <c r="D7">
        <v>1.7999999999999972</v>
      </c>
    </row>
    <row r="8" spans="1:13" x14ac:dyDescent="0.2">
      <c r="A8" t="s">
        <v>194</v>
      </c>
      <c r="B8">
        <v>25.4</v>
      </c>
      <c r="C8">
        <v>23.6</v>
      </c>
      <c r="D8">
        <v>1.7999999999999972</v>
      </c>
    </row>
    <row r="9" spans="1:13" x14ac:dyDescent="0.2">
      <c r="A9" t="s">
        <v>195</v>
      </c>
      <c r="B9">
        <v>24</v>
      </c>
      <c r="C9">
        <v>22.2</v>
      </c>
      <c r="D9">
        <v>1.8000000000000007</v>
      </c>
      <c r="G9" s="3"/>
    </row>
    <row r="10" spans="1:13" ht="14" customHeight="1" x14ac:dyDescent="0.2">
      <c r="A10" t="s">
        <v>196</v>
      </c>
      <c r="B10">
        <v>30.7</v>
      </c>
      <c r="C10">
        <v>29.1</v>
      </c>
      <c r="D10">
        <v>1.5999999999999979</v>
      </c>
      <c r="G10" s="191" t="s">
        <v>503</v>
      </c>
      <c r="H10" s="191"/>
      <c r="I10" s="191"/>
      <c r="J10" s="191"/>
      <c r="K10" s="191"/>
      <c r="L10" s="191"/>
      <c r="M10" s="191"/>
    </row>
    <row r="11" spans="1:13" x14ac:dyDescent="0.2">
      <c r="A11" t="s">
        <v>197</v>
      </c>
      <c r="B11">
        <v>23.9</v>
      </c>
      <c r="C11">
        <v>22.2</v>
      </c>
      <c r="D11">
        <v>1.6999999999999993</v>
      </c>
      <c r="G11" s="191"/>
      <c r="H11" s="191"/>
      <c r="I11" s="191"/>
      <c r="J11" s="191"/>
      <c r="K11" s="191"/>
      <c r="L11" s="191"/>
      <c r="M11" s="191"/>
    </row>
    <row r="12" spans="1:13" x14ac:dyDescent="0.2">
      <c r="A12" t="s">
        <v>330</v>
      </c>
      <c r="B12">
        <v>23.8</v>
      </c>
      <c r="C12">
        <v>22.1</v>
      </c>
      <c r="D12">
        <v>1.6999999999999993</v>
      </c>
      <c r="G12" s="191"/>
      <c r="H12" s="191"/>
      <c r="I12" s="191"/>
      <c r="J12" s="191"/>
      <c r="K12" s="191"/>
      <c r="L12" s="191"/>
      <c r="M12" s="191"/>
    </row>
    <row r="14" spans="1:13" x14ac:dyDescent="0.2">
      <c r="A14" s="38" t="s">
        <v>88</v>
      </c>
      <c r="B14" s="38" t="s">
        <v>198</v>
      </c>
      <c r="C14" s="38" t="s">
        <v>199</v>
      </c>
      <c r="D14" s="38" t="s">
        <v>200</v>
      </c>
    </row>
    <row r="15" spans="1:13" x14ac:dyDescent="0.2">
      <c r="A15" t="s">
        <v>114</v>
      </c>
      <c r="B15">
        <v>13.2</v>
      </c>
      <c r="C15">
        <v>12.8</v>
      </c>
      <c r="D15">
        <v>0.80000000000000071</v>
      </c>
    </row>
    <row r="16" spans="1:13" x14ac:dyDescent="0.2">
      <c r="A16" t="s">
        <v>125</v>
      </c>
      <c r="B16">
        <v>14.9</v>
      </c>
      <c r="C16">
        <v>13.4</v>
      </c>
      <c r="D16">
        <v>2.8999999999999986</v>
      </c>
    </row>
    <row r="17" spans="1:4" x14ac:dyDescent="0.2">
      <c r="A17" t="s">
        <v>107</v>
      </c>
      <c r="B17">
        <v>16.100000000000001</v>
      </c>
      <c r="C17">
        <v>13.1</v>
      </c>
      <c r="D17">
        <v>3.0000000000000018</v>
      </c>
    </row>
    <row r="18" spans="1:4" x14ac:dyDescent="0.2">
      <c r="A18" t="s">
        <v>110</v>
      </c>
      <c r="B18">
        <v>16.2</v>
      </c>
      <c r="C18">
        <v>15.7</v>
      </c>
      <c r="D18">
        <v>0.5</v>
      </c>
    </row>
    <row r="19" spans="1:4" x14ac:dyDescent="0.2">
      <c r="A19" t="s">
        <v>124</v>
      </c>
      <c r="B19">
        <v>16.899999999999999</v>
      </c>
      <c r="C19">
        <v>14.9</v>
      </c>
      <c r="D19">
        <v>3.0999999999999979</v>
      </c>
    </row>
    <row r="20" spans="1:4" x14ac:dyDescent="0.2">
      <c r="A20" t="s">
        <v>39</v>
      </c>
      <c r="B20">
        <v>17.5</v>
      </c>
      <c r="C20">
        <v>15.1</v>
      </c>
      <c r="D20">
        <v>1.8999999999999986</v>
      </c>
    </row>
    <row r="21" spans="1:4" x14ac:dyDescent="0.2">
      <c r="A21" t="s">
        <v>38</v>
      </c>
      <c r="B21">
        <v>17.899999999999999</v>
      </c>
      <c r="C21">
        <v>14.9</v>
      </c>
      <c r="D21">
        <v>1.3999999999999986</v>
      </c>
    </row>
    <row r="22" spans="1:4" x14ac:dyDescent="0.2">
      <c r="A22" t="s">
        <v>111</v>
      </c>
      <c r="B22">
        <v>19</v>
      </c>
      <c r="C22">
        <v>17.2</v>
      </c>
      <c r="D22">
        <v>2.1999999999999957</v>
      </c>
    </row>
    <row r="23" spans="1:4" x14ac:dyDescent="0.2">
      <c r="A23" t="s">
        <v>108</v>
      </c>
      <c r="B23">
        <v>19.2</v>
      </c>
      <c r="C23">
        <v>18.7</v>
      </c>
      <c r="D23">
        <v>-1.1999999999999993</v>
      </c>
    </row>
    <row r="24" spans="1:4" x14ac:dyDescent="0.2">
      <c r="A24" t="s">
        <v>121</v>
      </c>
      <c r="B24">
        <v>19.399999999999999</v>
      </c>
      <c r="C24">
        <v>18.600000000000001</v>
      </c>
      <c r="D24">
        <v>1.8000000000000007</v>
      </c>
    </row>
    <row r="25" spans="1:4" x14ac:dyDescent="0.2">
      <c r="A25" t="s">
        <v>99</v>
      </c>
      <c r="B25">
        <v>20.100000000000001</v>
      </c>
      <c r="C25">
        <v>17.399999999999999</v>
      </c>
      <c r="D25">
        <v>0.59999999999999787</v>
      </c>
    </row>
    <row r="26" spans="1:4" x14ac:dyDescent="0.2">
      <c r="A26" t="s">
        <v>35</v>
      </c>
      <c r="B26">
        <v>20.2</v>
      </c>
      <c r="C26">
        <v>19.3</v>
      </c>
      <c r="D26">
        <v>2.4000000000000021</v>
      </c>
    </row>
    <row r="27" spans="1:4" x14ac:dyDescent="0.2">
      <c r="A27" t="s">
        <v>102</v>
      </c>
      <c r="B27">
        <v>21.2</v>
      </c>
      <c r="C27">
        <v>20.399999999999999</v>
      </c>
      <c r="D27">
        <v>2</v>
      </c>
    </row>
    <row r="28" spans="1:4" x14ac:dyDescent="0.2">
      <c r="A28" t="s">
        <v>36</v>
      </c>
      <c r="B28">
        <v>21.4</v>
      </c>
      <c r="C28">
        <v>19.399999999999999</v>
      </c>
      <c r="D28">
        <v>1.6999999999999957</v>
      </c>
    </row>
    <row r="29" spans="1:4" x14ac:dyDescent="0.2">
      <c r="A29" t="s">
        <v>82</v>
      </c>
      <c r="B29">
        <v>21.9</v>
      </c>
      <c r="C29">
        <v>18.8</v>
      </c>
      <c r="D29">
        <v>4.6999999999999993</v>
      </c>
    </row>
    <row r="30" spans="1:4" x14ac:dyDescent="0.2">
      <c r="A30" t="s">
        <v>109</v>
      </c>
      <c r="B30">
        <v>24.4</v>
      </c>
      <c r="C30">
        <v>22.5</v>
      </c>
      <c r="D30">
        <v>0.79999999999999716</v>
      </c>
    </row>
    <row r="31" spans="1:4" x14ac:dyDescent="0.2">
      <c r="A31" t="s">
        <v>122</v>
      </c>
      <c r="B31">
        <v>24.9</v>
      </c>
      <c r="C31">
        <v>23.1</v>
      </c>
      <c r="D31">
        <v>0.79999999999999716</v>
      </c>
    </row>
    <row r="32" spans="1:4" x14ac:dyDescent="0.2">
      <c r="A32" t="s">
        <v>95</v>
      </c>
      <c r="B32">
        <v>25.8</v>
      </c>
      <c r="C32">
        <v>23.6</v>
      </c>
      <c r="D32">
        <v>1.7999999999999972</v>
      </c>
    </row>
    <row r="33" spans="1:4" x14ac:dyDescent="0.2">
      <c r="A33" t="s">
        <v>126</v>
      </c>
      <c r="B33">
        <v>26.2</v>
      </c>
      <c r="C33">
        <v>25.5</v>
      </c>
      <c r="D33">
        <v>1.9999999999999982</v>
      </c>
    </row>
    <row r="34" spans="1:4" x14ac:dyDescent="0.2">
      <c r="A34" t="s">
        <v>37</v>
      </c>
      <c r="B34">
        <v>26.7</v>
      </c>
      <c r="C34">
        <v>27.9</v>
      </c>
      <c r="D34">
        <v>2.7000000000000028</v>
      </c>
    </row>
    <row r="35" spans="1:4" x14ac:dyDescent="0.2">
      <c r="A35" t="s">
        <v>127</v>
      </c>
      <c r="B35">
        <v>27.4</v>
      </c>
      <c r="C35">
        <v>27.5</v>
      </c>
      <c r="D35">
        <v>0.69999999999999929</v>
      </c>
    </row>
    <row r="36" spans="1:4" x14ac:dyDescent="0.2">
      <c r="A36" t="s">
        <v>106</v>
      </c>
      <c r="B36">
        <v>28.8</v>
      </c>
      <c r="C36">
        <v>26.8</v>
      </c>
      <c r="D36">
        <v>-0.10000000000000142</v>
      </c>
    </row>
    <row r="37" spans="1:4" x14ac:dyDescent="0.2">
      <c r="A37" t="s">
        <v>117</v>
      </c>
      <c r="B37">
        <v>29.6</v>
      </c>
      <c r="C37">
        <v>27.2</v>
      </c>
      <c r="D37">
        <v>1.8999999999999986</v>
      </c>
    </row>
    <row r="38" spans="1:4" x14ac:dyDescent="0.2">
      <c r="A38" t="s">
        <v>115</v>
      </c>
      <c r="B38">
        <v>30.2</v>
      </c>
      <c r="C38">
        <v>28.8</v>
      </c>
      <c r="D38">
        <v>2</v>
      </c>
    </row>
    <row r="39" spans="1:4" x14ac:dyDescent="0.2">
      <c r="A39" t="s">
        <v>81</v>
      </c>
      <c r="B39">
        <v>30.2</v>
      </c>
      <c r="C39">
        <v>29.6</v>
      </c>
      <c r="D39">
        <v>0.89999999999999858</v>
      </c>
    </row>
    <row r="40" spans="1:4" x14ac:dyDescent="0.2">
      <c r="A40" t="s">
        <v>120</v>
      </c>
      <c r="B40">
        <v>33</v>
      </c>
      <c r="C40">
        <v>28.3</v>
      </c>
      <c r="D40">
        <v>0.5</v>
      </c>
    </row>
    <row r="41" spans="1:4" x14ac:dyDescent="0.2">
      <c r="A41" t="s">
        <v>113</v>
      </c>
      <c r="B41">
        <v>33.9</v>
      </c>
      <c r="C41">
        <v>33.1</v>
      </c>
      <c r="D41">
        <v>2.9999999999999982</v>
      </c>
    </row>
    <row r="42" spans="1:4" x14ac:dyDescent="0.2">
      <c r="A42" t="s">
        <v>119</v>
      </c>
      <c r="B42">
        <v>35.9</v>
      </c>
      <c r="C42">
        <v>34.200000000000003</v>
      </c>
      <c r="D42">
        <v>2.1999999999999993</v>
      </c>
    </row>
    <row r="43" spans="1:4" x14ac:dyDescent="0.2">
      <c r="A43" t="s">
        <v>32</v>
      </c>
      <c r="B43">
        <v>36.799999999999997</v>
      </c>
      <c r="C43">
        <v>34.6</v>
      </c>
      <c r="D43">
        <v>0.39999999999999858</v>
      </c>
    </row>
    <row r="44" spans="1:4" x14ac:dyDescent="0.2">
      <c r="A44" t="s">
        <v>129</v>
      </c>
      <c r="B44">
        <v>41.3</v>
      </c>
      <c r="C44">
        <v>39.4</v>
      </c>
      <c r="D44">
        <v>1.5</v>
      </c>
    </row>
    <row r="45" spans="1:4" x14ac:dyDescent="0.2">
      <c r="A45" t="s">
        <v>34</v>
      </c>
      <c r="B45">
        <v>42</v>
      </c>
      <c r="C45">
        <v>42</v>
      </c>
      <c r="D45">
        <v>2.4000000000000004</v>
      </c>
    </row>
    <row r="46" spans="1:4" x14ac:dyDescent="0.2">
      <c r="A46" t="s">
        <v>104</v>
      </c>
      <c r="B46">
        <v>49.4</v>
      </c>
      <c r="C46">
        <v>46.5</v>
      </c>
      <c r="D46">
        <v>0</v>
      </c>
    </row>
    <row r="51" spans="7:13" ht="14" customHeight="1" x14ac:dyDescent="0.2">
      <c r="G51" s="191" t="s">
        <v>502</v>
      </c>
      <c r="H51" s="191"/>
      <c r="I51" s="191"/>
      <c r="J51" s="191"/>
      <c r="K51" s="191"/>
      <c r="L51" s="191"/>
      <c r="M51" s="191"/>
    </row>
    <row r="52" spans="7:13" x14ac:dyDescent="0.2">
      <c r="G52" s="191"/>
      <c r="H52" s="191"/>
      <c r="I52" s="191"/>
      <c r="J52" s="191"/>
      <c r="K52" s="191"/>
      <c r="L52" s="191"/>
      <c r="M52" s="191"/>
    </row>
  </sheetData>
  <mergeCells count="5">
    <mergeCell ref="B5:B6"/>
    <mergeCell ref="C5:C6"/>
    <mergeCell ref="D5:D6"/>
    <mergeCell ref="G51:M52"/>
    <mergeCell ref="G10:M12"/>
  </mergeCells>
  <phoneticPr fontId="7"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7"/>
  <sheetViews>
    <sheetView topLeftCell="A11" zoomScaleNormal="70" zoomScalePageLayoutView="70" workbookViewId="0">
      <selection activeCell="R12" sqref="R12"/>
    </sheetView>
  </sheetViews>
  <sheetFormatPr baseColWidth="10" defaultColWidth="9.1640625" defaultRowHeight="15" x14ac:dyDescent="0.2"/>
  <cols>
    <col min="1" max="1" width="12.6640625" style="155" customWidth="1"/>
    <col min="2" max="16384" width="9.1640625" style="155"/>
  </cols>
  <sheetData>
    <row r="1" spans="1:10" x14ac:dyDescent="0.2">
      <c r="A1" s="218" t="s">
        <v>495</v>
      </c>
      <c r="B1" s="188"/>
      <c r="C1" s="188"/>
      <c r="D1" s="188"/>
      <c r="E1" s="188"/>
      <c r="F1" s="188"/>
      <c r="G1" s="188"/>
      <c r="H1" s="188"/>
      <c r="I1" s="188"/>
      <c r="J1" s="188"/>
    </row>
    <row r="3" spans="1:10" x14ac:dyDescent="0.2">
      <c r="B3" s="214" t="s">
        <v>187</v>
      </c>
      <c r="C3" s="215"/>
      <c r="D3" s="215"/>
      <c r="E3" s="215"/>
      <c r="F3" s="215"/>
    </row>
    <row r="4" spans="1:10" x14ac:dyDescent="0.2">
      <c r="B4" s="216" t="s">
        <v>188</v>
      </c>
      <c r="C4" s="217"/>
      <c r="D4" s="217"/>
      <c r="E4" s="217"/>
      <c r="F4" s="217"/>
    </row>
    <row r="5" spans="1:10" ht="43" x14ac:dyDescent="0.2">
      <c r="A5" s="168" t="s">
        <v>88</v>
      </c>
      <c r="B5" s="158" t="s">
        <v>189</v>
      </c>
    </row>
    <row r="6" spans="1:10" x14ac:dyDescent="0.2">
      <c r="A6" s="169" t="s">
        <v>122</v>
      </c>
      <c r="B6" s="170">
        <v>32</v>
      </c>
    </row>
    <row r="7" spans="1:10" x14ac:dyDescent="0.2">
      <c r="A7" s="169" t="s">
        <v>81</v>
      </c>
      <c r="B7" s="170">
        <v>44.2</v>
      </c>
    </row>
    <row r="8" spans="1:10" x14ac:dyDescent="0.2">
      <c r="A8" s="169" t="s">
        <v>34</v>
      </c>
      <c r="B8" s="170">
        <v>44.780047539999998</v>
      </c>
    </row>
    <row r="9" spans="1:10" x14ac:dyDescent="0.2">
      <c r="A9" s="169" t="s">
        <v>37</v>
      </c>
      <c r="B9" s="170">
        <v>46.6</v>
      </c>
    </row>
    <row r="10" spans="1:10" x14ac:dyDescent="0.2">
      <c r="A10" s="169" t="s">
        <v>32</v>
      </c>
      <c r="B10" s="170">
        <v>54.6</v>
      </c>
    </row>
    <row r="11" spans="1:10" x14ac:dyDescent="0.2">
      <c r="A11" s="169" t="s">
        <v>121</v>
      </c>
      <c r="B11" s="170">
        <v>56.4</v>
      </c>
    </row>
    <row r="12" spans="1:10" x14ac:dyDescent="0.2">
      <c r="A12" s="169" t="s">
        <v>106</v>
      </c>
      <c r="B12" s="170">
        <v>57.2</v>
      </c>
    </row>
    <row r="13" spans="1:10" x14ac:dyDescent="0.2">
      <c r="A13" s="169" t="s">
        <v>97</v>
      </c>
      <c r="B13" s="170">
        <v>60.8</v>
      </c>
    </row>
    <row r="14" spans="1:10" x14ac:dyDescent="0.2">
      <c r="A14" s="169" t="s">
        <v>115</v>
      </c>
      <c r="B14" s="170">
        <v>66.3</v>
      </c>
    </row>
    <row r="15" spans="1:10" x14ac:dyDescent="0.2">
      <c r="A15" s="169" t="s">
        <v>102</v>
      </c>
      <c r="B15" s="170">
        <v>67.8</v>
      </c>
    </row>
    <row r="16" spans="1:10" x14ac:dyDescent="0.2">
      <c r="A16" s="169" t="s">
        <v>117</v>
      </c>
      <c r="B16" s="170">
        <v>69.2</v>
      </c>
    </row>
    <row r="17" spans="1:2" x14ac:dyDescent="0.2">
      <c r="A17" s="169" t="s">
        <v>40</v>
      </c>
      <c r="B17" s="170">
        <v>72.064345059999994</v>
      </c>
    </row>
    <row r="18" spans="1:2" ht="30" x14ac:dyDescent="0.2">
      <c r="A18" s="169" t="s">
        <v>151</v>
      </c>
      <c r="B18" s="170">
        <v>77</v>
      </c>
    </row>
    <row r="19" spans="1:2" x14ac:dyDescent="0.2">
      <c r="A19" s="169" t="s">
        <v>100</v>
      </c>
      <c r="B19" s="170">
        <v>78.960587250000003</v>
      </c>
    </row>
    <row r="20" spans="1:2" x14ac:dyDescent="0.2">
      <c r="A20" s="169" t="s">
        <v>36</v>
      </c>
      <c r="B20" s="170">
        <v>85.9</v>
      </c>
    </row>
    <row r="21" spans="1:2" x14ac:dyDescent="0.2">
      <c r="A21" s="169" t="s">
        <v>113</v>
      </c>
      <c r="B21" s="170">
        <v>87.6</v>
      </c>
    </row>
    <row r="22" spans="1:2" x14ac:dyDescent="0.2">
      <c r="A22" s="169" t="s">
        <v>129</v>
      </c>
      <c r="B22" s="170">
        <v>88</v>
      </c>
    </row>
    <row r="23" spans="1:2" x14ac:dyDescent="0.2">
      <c r="A23" s="169" t="s">
        <v>99</v>
      </c>
      <c r="B23" s="170">
        <v>93.7</v>
      </c>
    </row>
    <row r="24" spans="1:2" x14ac:dyDescent="0.2">
      <c r="A24" s="169" t="s">
        <v>126</v>
      </c>
      <c r="B24" s="170">
        <v>94.9</v>
      </c>
    </row>
    <row r="25" spans="1:2" x14ac:dyDescent="0.2">
      <c r="A25" s="169" t="s">
        <v>109</v>
      </c>
      <c r="B25" s="170">
        <v>97.5</v>
      </c>
    </row>
    <row r="26" spans="1:2" ht="30" x14ac:dyDescent="0.2">
      <c r="A26" s="169" t="s">
        <v>95</v>
      </c>
      <c r="B26" s="170">
        <v>99.2</v>
      </c>
    </row>
    <row r="27" spans="1:2" x14ac:dyDescent="0.2">
      <c r="A27" s="169" t="s">
        <v>107</v>
      </c>
      <c r="B27" s="170">
        <v>100</v>
      </c>
    </row>
    <row r="28" spans="1:2" x14ac:dyDescent="0.2">
      <c r="A28" s="169" t="s">
        <v>108</v>
      </c>
      <c r="B28" s="170">
        <v>100</v>
      </c>
    </row>
    <row r="29" spans="1:2" x14ac:dyDescent="0.2">
      <c r="A29" s="169" t="s">
        <v>110</v>
      </c>
      <c r="B29" s="170">
        <v>100</v>
      </c>
    </row>
    <row r="30" spans="1:2" x14ac:dyDescent="0.2">
      <c r="A30" s="169" t="s">
        <v>111</v>
      </c>
      <c r="B30" s="170">
        <v>100</v>
      </c>
    </row>
    <row r="31" spans="1:2" x14ac:dyDescent="0.2">
      <c r="A31" s="169" t="s">
        <v>82</v>
      </c>
      <c r="B31" s="170">
        <v>100</v>
      </c>
    </row>
    <row r="32" spans="1:2" x14ac:dyDescent="0.2">
      <c r="A32" s="169" t="s">
        <v>114</v>
      </c>
      <c r="B32" s="170">
        <v>100</v>
      </c>
    </row>
    <row r="33" spans="1:16" x14ac:dyDescent="0.2">
      <c r="A33" s="169" t="s">
        <v>22</v>
      </c>
      <c r="B33" s="170">
        <v>100</v>
      </c>
    </row>
    <row r="34" spans="1:16" x14ac:dyDescent="0.2">
      <c r="A34" s="169" t="s">
        <v>119</v>
      </c>
      <c r="B34" s="170">
        <v>100</v>
      </c>
    </row>
    <row r="35" spans="1:16" x14ac:dyDescent="0.2">
      <c r="A35" s="169" t="s">
        <v>120</v>
      </c>
      <c r="B35" s="170">
        <v>100</v>
      </c>
    </row>
    <row r="36" spans="1:16" x14ac:dyDescent="0.2">
      <c r="A36" s="169" t="s">
        <v>124</v>
      </c>
      <c r="B36" s="170">
        <v>100</v>
      </c>
    </row>
    <row r="37" spans="1:16" x14ac:dyDescent="0.2">
      <c r="A37" s="169" t="s">
        <v>125</v>
      </c>
      <c r="B37" s="170">
        <v>100</v>
      </c>
    </row>
    <row r="38" spans="1:16" x14ac:dyDescent="0.2">
      <c r="A38" s="169" t="s">
        <v>127</v>
      </c>
      <c r="B38" s="170">
        <v>100</v>
      </c>
    </row>
    <row r="39" spans="1:16" ht="30" x14ac:dyDescent="0.2">
      <c r="A39" s="169" t="s">
        <v>130</v>
      </c>
      <c r="B39" s="170">
        <v>100</v>
      </c>
    </row>
    <row r="40" spans="1:16" x14ac:dyDescent="0.2">
      <c r="A40" s="169" t="s">
        <v>35</v>
      </c>
      <c r="B40" s="170">
        <v>100</v>
      </c>
    </row>
    <row r="41" spans="1:16" x14ac:dyDescent="0.2">
      <c r="A41" s="169" t="s">
        <v>38</v>
      </c>
      <c r="B41" s="170">
        <v>100</v>
      </c>
    </row>
    <row r="42" spans="1:16" ht="15" customHeight="1" x14ac:dyDescent="0.2">
      <c r="A42" s="169" t="s">
        <v>39</v>
      </c>
      <c r="B42" s="170">
        <v>100</v>
      </c>
      <c r="D42" s="156"/>
      <c r="E42" s="171"/>
      <c r="F42" s="171"/>
      <c r="G42" s="171"/>
      <c r="H42" s="171"/>
      <c r="I42" s="171"/>
      <c r="J42" s="171"/>
      <c r="K42" s="171"/>
    </row>
    <row r="43" spans="1:16" x14ac:dyDescent="0.2">
      <c r="H43" s="187" t="s">
        <v>466</v>
      </c>
      <c r="I43" s="188"/>
      <c r="J43" s="188"/>
      <c r="K43" s="188"/>
      <c r="L43" s="188"/>
      <c r="M43" s="188"/>
      <c r="N43" s="188"/>
      <c r="O43" s="156"/>
      <c r="P43" s="171"/>
    </row>
    <row r="44" spans="1:16" x14ac:dyDescent="0.2">
      <c r="H44" s="188"/>
      <c r="I44" s="188"/>
      <c r="J44" s="188"/>
      <c r="K44" s="188"/>
      <c r="L44" s="188"/>
      <c r="M44" s="188"/>
      <c r="N44" s="188"/>
      <c r="O44" s="156"/>
      <c r="P44" s="171"/>
    </row>
    <row r="45" spans="1:16" x14ac:dyDescent="0.2">
      <c r="A45" s="219" t="s">
        <v>152</v>
      </c>
      <c r="B45" s="188"/>
      <c r="C45" s="188"/>
      <c r="D45" s="188"/>
      <c r="H45" s="188"/>
      <c r="I45" s="188"/>
      <c r="J45" s="188"/>
      <c r="K45" s="188"/>
      <c r="L45" s="188"/>
      <c r="M45" s="188"/>
      <c r="N45" s="188"/>
      <c r="O45" s="156"/>
      <c r="P45" s="171"/>
    </row>
    <row r="46" spans="1:16" x14ac:dyDescent="0.2">
      <c r="A46" s="220" t="s">
        <v>153</v>
      </c>
      <c r="B46" s="188"/>
      <c r="C46" s="188"/>
      <c r="D46" s="188"/>
      <c r="H46" s="188"/>
      <c r="I46" s="188"/>
      <c r="J46" s="188"/>
      <c r="K46" s="188"/>
      <c r="L46" s="188"/>
      <c r="M46" s="188"/>
      <c r="N46" s="188"/>
      <c r="O46" s="156"/>
      <c r="P46" s="171"/>
    </row>
    <row r="47" spans="1:16" x14ac:dyDescent="0.2">
      <c r="A47" s="188" t="s">
        <v>406</v>
      </c>
      <c r="B47" s="188"/>
      <c r="C47" s="188"/>
      <c r="D47" s="188"/>
      <c r="H47" s="188"/>
      <c r="I47" s="188"/>
      <c r="J47" s="188"/>
      <c r="K47" s="188"/>
      <c r="L47" s="188"/>
      <c r="M47" s="188"/>
      <c r="N47" s="188"/>
      <c r="O47" s="156"/>
      <c r="P47" s="171"/>
    </row>
  </sheetData>
  <sortState ref="A6:B42">
    <sortCondition ref="B7:B42"/>
    <sortCondition ref="A7:A42"/>
  </sortState>
  <mergeCells count="7">
    <mergeCell ref="A47:D47"/>
    <mergeCell ref="H43:N47"/>
    <mergeCell ref="B3:F3"/>
    <mergeCell ref="B4:F4"/>
    <mergeCell ref="A1:J1"/>
    <mergeCell ref="A45:D45"/>
    <mergeCell ref="A46:D46"/>
  </mergeCells>
  <phoneticPr fontId="7" type="noConversion"/>
  <hyperlinks>
    <hyperlink ref="A46" r:id="rId1"/>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zoomScale="70" zoomScaleNormal="70" zoomScalePageLayoutView="70" workbookViewId="0">
      <selection activeCell="C26" sqref="C26"/>
    </sheetView>
  </sheetViews>
  <sheetFormatPr baseColWidth="10" defaultColWidth="9.1640625" defaultRowHeight="15" x14ac:dyDescent="0.2"/>
  <sheetData>
    <row r="1" spans="1:4" x14ac:dyDescent="0.2">
      <c r="A1" s="3" t="s">
        <v>552</v>
      </c>
    </row>
    <row r="3" spans="1:4" x14ac:dyDescent="0.2">
      <c r="B3">
        <v>2000</v>
      </c>
      <c r="C3">
        <v>2005</v>
      </c>
      <c r="D3">
        <v>2012</v>
      </c>
    </row>
    <row r="4" spans="1:4" x14ac:dyDescent="0.2">
      <c r="A4" t="s">
        <v>352</v>
      </c>
      <c r="B4">
        <v>13.97</v>
      </c>
      <c r="C4">
        <v>11.42</v>
      </c>
      <c r="D4">
        <v>9.67</v>
      </c>
    </row>
    <row r="5" spans="1:4" x14ac:dyDescent="0.2">
      <c r="A5" t="s">
        <v>157</v>
      </c>
      <c r="B5">
        <v>11.14</v>
      </c>
      <c r="C5">
        <v>9.1300000000000008</v>
      </c>
      <c r="D5">
        <v>7.87</v>
      </c>
    </row>
    <row r="6" spans="1:4" x14ac:dyDescent="0.2">
      <c r="A6" t="s">
        <v>353</v>
      </c>
      <c r="B6">
        <v>12.61</v>
      </c>
      <c r="C6">
        <v>10.32</v>
      </c>
      <c r="D6">
        <v>8.8000000000000007</v>
      </c>
    </row>
    <row r="21" spans="1:1" x14ac:dyDescent="0.2">
      <c r="A21" t="s">
        <v>553</v>
      </c>
    </row>
  </sheetData>
  <phoneticPr fontId="7"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zoomScaleNormal="70" zoomScalePageLayoutView="70" workbookViewId="0">
      <selection activeCell="O26" sqref="O26"/>
    </sheetView>
  </sheetViews>
  <sheetFormatPr baseColWidth="10" defaultColWidth="9.1640625" defaultRowHeight="15" x14ac:dyDescent="0.2"/>
  <sheetData>
    <row r="1" spans="1:4" x14ac:dyDescent="0.2">
      <c r="A1" s="3" t="s">
        <v>496</v>
      </c>
    </row>
    <row r="3" spans="1:4" x14ac:dyDescent="0.2">
      <c r="B3">
        <v>2000</v>
      </c>
      <c r="C3">
        <v>2005</v>
      </c>
      <c r="D3">
        <v>2012</v>
      </c>
    </row>
    <row r="4" spans="1:4" x14ac:dyDescent="0.2">
      <c r="A4" t="s">
        <v>352</v>
      </c>
      <c r="B4">
        <v>11.64</v>
      </c>
      <c r="C4">
        <v>9.76</v>
      </c>
      <c r="D4">
        <v>8.2799999999999994</v>
      </c>
    </row>
    <row r="5" spans="1:4" x14ac:dyDescent="0.2">
      <c r="A5" t="s">
        <v>157</v>
      </c>
      <c r="B5">
        <v>9.11</v>
      </c>
      <c r="C5">
        <v>7.72</v>
      </c>
      <c r="D5">
        <v>6.7</v>
      </c>
    </row>
    <row r="6" spans="1:4" x14ac:dyDescent="0.2">
      <c r="A6" t="s">
        <v>353</v>
      </c>
      <c r="B6">
        <v>9.77</v>
      </c>
      <c r="C6">
        <v>8.1199999999999992</v>
      </c>
      <c r="D6">
        <v>6.9</v>
      </c>
    </row>
    <row r="20" spans="1:1" x14ac:dyDescent="0.2">
      <c r="A20" t="s">
        <v>400</v>
      </c>
    </row>
    <row r="21" spans="1:1" x14ac:dyDescent="0.2">
      <c r="A21" t="s">
        <v>406</v>
      </c>
    </row>
  </sheetData>
  <phoneticPr fontId="7"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5"/>
  <sheetViews>
    <sheetView topLeftCell="A26" zoomScale="70" zoomScaleNormal="70" zoomScalePageLayoutView="70" workbookViewId="0">
      <selection activeCell="G33" sqref="G33"/>
    </sheetView>
  </sheetViews>
  <sheetFormatPr baseColWidth="10" defaultColWidth="8.83203125" defaultRowHeight="15" x14ac:dyDescent="0.2"/>
  <cols>
    <col min="1" max="1" width="57.83203125" bestFit="1" customWidth="1"/>
  </cols>
  <sheetData>
    <row r="1" spans="1:19" ht="19" x14ac:dyDescent="0.25">
      <c r="A1" s="6" t="s">
        <v>394</v>
      </c>
      <c r="B1" s="2"/>
      <c r="C1" s="2"/>
      <c r="D1" s="2"/>
      <c r="E1" s="2"/>
      <c r="F1" s="2"/>
    </row>
    <row r="2" spans="1:19" x14ac:dyDescent="0.2">
      <c r="A2" s="5" t="s">
        <v>159</v>
      </c>
    </row>
    <row r="4" spans="1:19" ht="16" x14ac:dyDescent="0.2">
      <c r="A4" s="3"/>
      <c r="B4" s="4" t="s">
        <v>157</v>
      </c>
      <c r="D4" s="4" t="s">
        <v>156</v>
      </c>
    </row>
    <row r="5" spans="1:19" x14ac:dyDescent="0.2">
      <c r="A5" s="3" t="s">
        <v>40</v>
      </c>
      <c r="B5">
        <v>8</v>
      </c>
      <c r="D5">
        <v>69</v>
      </c>
      <c r="L5" s="212" t="s">
        <v>463</v>
      </c>
      <c r="M5" s="221"/>
      <c r="N5" s="221"/>
      <c r="O5" s="221"/>
      <c r="P5" s="221"/>
      <c r="Q5" s="221"/>
      <c r="R5" s="221"/>
      <c r="S5" s="221"/>
    </row>
    <row r="6" spans="1:19" x14ac:dyDescent="0.2">
      <c r="A6" s="3" t="s">
        <v>103</v>
      </c>
      <c r="B6" s="157">
        <v>16</v>
      </c>
      <c r="C6" s="1"/>
      <c r="D6" s="1">
        <v>44</v>
      </c>
      <c r="L6" s="221"/>
      <c r="M6" s="221"/>
      <c r="N6" s="221"/>
      <c r="O6" s="221"/>
      <c r="P6" s="221"/>
      <c r="Q6" s="221"/>
      <c r="R6" s="221"/>
      <c r="S6" s="221"/>
    </row>
    <row r="7" spans="1:19" x14ac:dyDescent="0.2">
      <c r="A7" s="3" t="s">
        <v>100</v>
      </c>
      <c r="B7">
        <v>25</v>
      </c>
      <c r="D7">
        <v>104</v>
      </c>
    </row>
    <row r="8" spans="1:19" x14ac:dyDescent="0.2">
      <c r="A8" s="3" t="s">
        <v>155</v>
      </c>
      <c r="B8">
        <v>25</v>
      </c>
      <c r="D8">
        <v>25</v>
      </c>
    </row>
    <row r="9" spans="1:19" x14ac:dyDescent="0.2">
      <c r="A9" s="3" t="s">
        <v>158</v>
      </c>
      <c r="B9">
        <v>29</v>
      </c>
      <c r="D9">
        <v>104</v>
      </c>
    </row>
    <row r="10" spans="1:19" x14ac:dyDescent="0.2">
      <c r="A10" s="3" t="s">
        <v>41</v>
      </c>
      <c r="B10">
        <v>30</v>
      </c>
      <c r="D10">
        <v>119</v>
      </c>
    </row>
    <row r="11" spans="1:19" x14ac:dyDescent="0.2">
      <c r="A11" s="3" t="s">
        <v>115</v>
      </c>
      <c r="B11">
        <v>53</v>
      </c>
      <c r="D11">
        <v>17</v>
      </c>
    </row>
    <row r="12" spans="1:19" x14ac:dyDescent="0.2">
      <c r="A12" s="3" t="s">
        <v>118</v>
      </c>
      <c r="B12">
        <v>54</v>
      </c>
      <c r="D12">
        <v>86</v>
      </c>
    </row>
    <row r="13" spans="1:19" x14ac:dyDescent="0.2">
      <c r="A13" s="3" t="s">
        <v>34</v>
      </c>
      <c r="B13">
        <v>56</v>
      </c>
      <c r="D13">
        <v>64</v>
      </c>
    </row>
    <row r="14" spans="1:19" x14ac:dyDescent="0.2">
      <c r="A14" s="7" t="s">
        <v>98</v>
      </c>
      <c r="B14" s="1">
        <v>60</v>
      </c>
      <c r="D14">
        <v>79</v>
      </c>
    </row>
    <row r="15" spans="1:19" x14ac:dyDescent="0.2">
      <c r="A15" s="3" t="s">
        <v>123</v>
      </c>
      <c r="B15" s="157">
        <v>60</v>
      </c>
      <c r="D15">
        <v>104</v>
      </c>
    </row>
    <row r="16" spans="1:19" x14ac:dyDescent="0.2">
      <c r="A16" s="3" t="s">
        <v>105</v>
      </c>
      <c r="B16">
        <v>62</v>
      </c>
      <c r="D16">
        <v>103</v>
      </c>
    </row>
    <row r="17" spans="1:4" x14ac:dyDescent="0.2">
      <c r="A17" s="3" t="s">
        <v>97</v>
      </c>
      <c r="B17">
        <v>69</v>
      </c>
      <c r="D17">
        <v>94</v>
      </c>
    </row>
    <row r="18" spans="1:4" x14ac:dyDescent="0.2">
      <c r="A18" s="3" t="s">
        <v>110</v>
      </c>
      <c r="B18">
        <v>70</v>
      </c>
      <c r="D18">
        <v>71</v>
      </c>
    </row>
    <row r="19" spans="1:4" x14ac:dyDescent="0.2">
      <c r="A19" s="3" t="s">
        <v>120</v>
      </c>
      <c r="B19">
        <v>75</v>
      </c>
      <c r="D19">
        <v>110</v>
      </c>
    </row>
    <row r="20" spans="1:4" x14ac:dyDescent="0.2">
      <c r="A20" s="3" t="s">
        <v>106</v>
      </c>
      <c r="B20">
        <v>77</v>
      </c>
      <c r="D20">
        <v>113</v>
      </c>
    </row>
    <row r="21" spans="1:4" x14ac:dyDescent="0.2">
      <c r="A21" s="3" t="s">
        <v>126</v>
      </c>
      <c r="B21">
        <v>78</v>
      </c>
      <c r="D21">
        <v>78</v>
      </c>
    </row>
    <row r="22" spans="1:4" x14ac:dyDescent="0.2">
      <c r="A22" s="3" t="s">
        <v>129</v>
      </c>
      <c r="B22">
        <v>78</v>
      </c>
      <c r="D22">
        <v>88</v>
      </c>
    </row>
    <row r="23" spans="1:4" x14ac:dyDescent="0.2">
      <c r="A23" s="3" t="s">
        <v>32</v>
      </c>
      <c r="B23">
        <v>79</v>
      </c>
      <c r="D23">
        <v>98</v>
      </c>
    </row>
    <row r="24" spans="1:4" x14ac:dyDescent="0.2">
      <c r="A24" s="3" t="s">
        <v>128</v>
      </c>
      <c r="B24">
        <v>79</v>
      </c>
      <c r="D24">
        <v>52</v>
      </c>
    </row>
    <row r="25" spans="1:4" x14ac:dyDescent="0.2">
      <c r="A25" s="3" t="s">
        <v>104</v>
      </c>
      <c r="B25">
        <v>85</v>
      </c>
      <c r="D25">
        <v>104</v>
      </c>
    </row>
    <row r="26" spans="1:4" x14ac:dyDescent="0.2">
      <c r="A26" s="3" t="s">
        <v>127</v>
      </c>
      <c r="B26">
        <v>85</v>
      </c>
      <c r="D26">
        <v>99</v>
      </c>
    </row>
    <row r="27" spans="1:4" x14ac:dyDescent="0.2">
      <c r="A27" s="3" t="s">
        <v>154</v>
      </c>
      <c r="B27">
        <v>85</v>
      </c>
      <c r="D27">
        <v>54</v>
      </c>
    </row>
    <row r="28" spans="1:4" x14ac:dyDescent="0.2">
      <c r="A28" s="3" t="s">
        <v>113</v>
      </c>
      <c r="B28">
        <v>87</v>
      </c>
      <c r="D28">
        <v>93</v>
      </c>
    </row>
    <row r="29" spans="1:4" x14ac:dyDescent="0.2">
      <c r="A29" s="3" t="s">
        <v>121</v>
      </c>
      <c r="B29">
        <v>89</v>
      </c>
      <c r="D29">
        <v>77</v>
      </c>
    </row>
    <row r="30" spans="1:4" x14ac:dyDescent="0.2">
      <c r="A30" s="3" t="s">
        <v>130</v>
      </c>
      <c r="B30">
        <v>90</v>
      </c>
      <c r="D30">
        <v>88</v>
      </c>
    </row>
    <row r="31" spans="1:4" x14ac:dyDescent="0.2">
      <c r="A31" s="3" t="s">
        <v>35</v>
      </c>
      <c r="B31">
        <v>90</v>
      </c>
      <c r="D31">
        <v>118</v>
      </c>
    </row>
    <row r="32" spans="1:4" x14ac:dyDescent="0.2">
      <c r="A32" s="3" t="s">
        <v>109</v>
      </c>
      <c r="B32">
        <v>91</v>
      </c>
      <c r="D32">
        <v>62</v>
      </c>
    </row>
    <row r="33" spans="1:4" x14ac:dyDescent="0.2">
      <c r="A33" s="3" t="s">
        <v>124</v>
      </c>
      <c r="B33">
        <v>91</v>
      </c>
      <c r="D33">
        <v>91</v>
      </c>
    </row>
    <row r="34" spans="1:4" x14ac:dyDescent="0.2">
      <c r="A34" s="3" t="s">
        <v>119</v>
      </c>
      <c r="B34">
        <v>92</v>
      </c>
      <c r="D34">
        <v>99</v>
      </c>
    </row>
    <row r="35" spans="1:4" x14ac:dyDescent="0.2">
      <c r="A35" s="3" t="s">
        <v>36</v>
      </c>
      <c r="B35">
        <v>93</v>
      </c>
      <c r="D35">
        <v>78</v>
      </c>
    </row>
    <row r="36" spans="1:4" x14ac:dyDescent="0.2">
      <c r="A36" s="3" t="s">
        <v>38</v>
      </c>
      <c r="B36">
        <v>95</v>
      </c>
      <c r="D36">
        <v>87</v>
      </c>
    </row>
    <row r="37" spans="1:4" x14ac:dyDescent="0.2">
      <c r="A37" s="3" t="s">
        <v>114</v>
      </c>
      <c r="B37">
        <v>96</v>
      </c>
      <c r="D37">
        <v>80</v>
      </c>
    </row>
    <row r="38" spans="1:4" x14ac:dyDescent="0.2">
      <c r="A38" s="3" t="s">
        <v>117</v>
      </c>
      <c r="B38">
        <v>97</v>
      </c>
      <c r="D38">
        <v>77</v>
      </c>
    </row>
    <row r="39" spans="1:4" x14ac:dyDescent="0.2">
      <c r="A39" s="3" t="s">
        <v>125</v>
      </c>
      <c r="B39">
        <v>99</v>
      </c>
      <c r="D39">
        <v>92</v>
      </c>
    </row>
    <row r="40" spans="1:4" x14ac:dyDescent="0.2">
      <c r="A40" s="3" t="s">
        <v>108</v>
      </c>
      <c r="B40">
        <v>100</v>
      </c>
      <c r="D40">
        <v>106</v>
      </c>
    </row>
    <row r="41" spans="1:4" x14ac:dyDescent="0.2">
      <c r="A41" s="3" t="s">
        <v>39</v>
      </c>
      <c r="B41">
        <v>100</v>
      </c>
      <c r="D41">
        <v>56</v>
      </c>
    </row>
    <row r="42" spans="1:4" x14ac:dyDescent="0.2">
      <c r="A42" s="3" t="s">
        <v>42</v>
      </c>
      <c r="B42">
        <v>100</v>
      </c>
      <c r="D42">
        <v>92</v>
      </c>
    </row>
    <row r="43" spans="1:4" x14ac:dyDescent="0.2">
      <c r="A43" s="3" t="s">
        <v>101</v>
      </c>
      <c r="B43">
        <v>101</v>
      </c>
      <c r="D43">
        <v>95</v>
      </c>
    </row>
    <row r="44" spans="1:4" x14ac:dyDescent="0.2">
      <c r="A44" s="3" t="s">
        <v>107</v>
      </c>
      <c r="B44">
        <v>101</v>
      </c>
      <c r="D44">
        <v>128</v>
      </c>
    </row>
    <row r="45" spans="1:4" x14ac:dyDescent="0.2">
      <c r="A45" s="3" t="s">
        <v>99</v>
      </c>
      <c r="B45">
        <v>103</v>
      </c>
      <c r="D45">
        <v>95</v>
      </c>
    </row>
    <row r="46" spans="1:4" x14ac:dyDescent="0.2">
      <c r="A46" s="3" t="s">
        <v>116</v>
      </c>
      <c r="B46">
        <v>103</v>
      </c>
      <c r="D46">
        <v>99</v>
      </c>
    </row>
    <row r="47" spans="1:4" x14ac:dyDescent="0.2">
      <c r="A47" s="3" t="s">
        <v>33</v>
      </c>
      <c r="B47">
        <v>108</v>
      </c>
      <c r="D47">
        <v>10</v>
      </c>
    </row>
    <row r="48" spans="1:4" x14ac:dyDescent="0.2">
      <c r="A48" s="3" t="s">
        <v>111</v>
      </c>
      <c r="B48">
        <v>109</v>
      </c>
      <c r="D48">
        <v>28</v>
      </c>
    </row>
    <row r="49" spans="1:18" x14ac:dyDescent="0.2">
      <c r="A49" s="3" t="s">
        <v>112</v>
      </c>
      <c r="B49">
        <v>112</v>
      </c>
      <c r="D49">
        <v>31</v>
      </c>
    </row>
    <row r="50" spans="1:18" x14ac:dyDescent="0.2">
      <c r="A50" s="3" t="s">
        <v>122</v>
      </c>
      <c r="B50">
        <v>113</v>
      </c>
      <c r="D50">
        <v>103</v>
      </c>
    </row>
    <row r="51" spans="1:18" x14ac:dyDescent="0.2">
      <c r="A51" s="3" t="s">
        <v>102</v>
      </c>
      <c r="B51">
        <v>118</v>
      </c>
      <c r="D51">
        <v>84</v>
      </c>
    </row>
    <row r="52" spans="1:18" x14ac:dyDescent="0.2">
      <c r="A52" s="3" t="s">
        <v>37</v>
      </c>
      <c r="B52">
        <v>127</v>
      </c>
      <c r="D52">
        <v>25</v>
      </c>
    </row>
    <row r="56" spans="1:18" x14ac:dyDescent="0.2">
      <c r="A56" t="s">
        <v>160</v>
      </c>
    </row>
    <row r="58" spans="1:18" ht="15" customHeight="1" x14ac:dyDescent="0.2">
      <c r="L58" s="222" t="s">
        <v>69</v>
      </c>
      <c r="M58" s="223"/>
      <c r="N58" s="223"/>
      <c r="O58" s="223"/>
      <c r="P58" s="223"/>
      <c r="Q58" s="223"/>
      <c r="R58" s="224"/>
    </row>
    <row r="59" spans="1:18" x14ac:dyDescent="0.2">
      <c r="L59" s="225"/>
      <c r="M59" s="226"/>
      <c r="N59" s="226"/>
      <c r="O59" s="226"/>
      <c r="P59" s="226"/>
      <c r="Q59" s="226"/>
      <c r="R59" s="227"/>
    </row>
    <row r="60" spans="1:18" x14ac:dyDescent="0.2">
      <c r="L60" s="225"/>
      <c r="M60" s="226"/>
      <c r="N60" s="226"/>
      <c r="O60" s="226"/>
      <c r="P60" s="226"/>
      <c r="Q60" s="226"/>
      <c r="R60" s="227"/>
    </row>
    <row r="61" spans="1:18" x14ac:dyDescent="0.2">
      <c r="L61" s="225"/>
      <c r="M61" s="226"/>
      <c r="N61" s="226"/>
      <c r="O61" s="226"/>
      <c r="P61" s="226"/>
      <c r="Q61" s="226"/>
      <c r="R61" s="227"/>
    </row>
    <row r="62" spans="1:18" x14ac:dyDescent="0.2">
      <c r="L62" s="225"/>
      <c r="M62" s="226"/>
      <c r="N62" s="226"/>
      <c r="O62" s="226"/>
      <c r="P62" s="226"/>
      <c r="Q62" s="226"/>
      <c r="R62" s="227"/>
    </row>
    <row r="63" spans="1:18" ht="41" customHeight="1" x14ac:dyDescent="0.2">
      <c r="L63" s="225"/>
      <c r="M63" s="226"/>
      <c r="N63" s="226"/>
      <c r="O63" s="226"/>
      <c r="P63" s="226"/>
      <c r="Q63" s="226"/>
      <c r="R63" s="227"/>
    </row>
    <row r="64" spans="1:18" x14ac:dyDescent="0.2">
      <c r="L64" s="225"/>
      <c r="M64" s="226"/>
      <c r="N64" s="226"/>
      <c r="O64" s="226"/>
      <c r="P64" s="226"/>
      <c r="Q64" s="226"/>
      <c r="R64" s="227"/>
    </row>
    <row r="65" spans="12:18" x14ac:dyDescent="0.2">
      <c r="L65" s="228"/>
      <c r="M65" s="229"/>
      <c r="N65" s="229"/>
      <c r="O65" s="229"/>
      <c r="P65" s="229"/>
      <c r="Q65" s="229"/>
      <c r="R65" s="230"/>
    </row>
  </sheetData>
  <sortState ref="A5:B52">
    <sortCondition ref="B6:B52"/>
    <sortCondition ref="A6:A52"/>
  </sortState>
  <mergeCells count="2">
    <mergeCell ref="L5:S6"/>
    <mergeCell ref="L58:R65"/>
  </mergeCells>
  <phoneticPr fontId="7"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7"/>
  <sheetViews>
    <sheetView topLeftCell="A22" workbookViewId="0">
      <selection activeCell="A51" sqref="A51"/>
    </sheetView>
  </sheetViews>
  <sheetFormatPr baseColWidth="10" defaultColWidth="10.1640625" defaultRowHeight="15" x14ac:dyDescent="0.2"/>
  <cols>
    <col min="1" max="16384" width="10.1640625" style="119"/>
  </cols>
  <sheetData>
    <row r="1" spans="1:13" x14ac:dyDescent="0.2">
      <c r="A1" s="18" t="s">
        <v>30</v>
      </c>
    </row>
    <row r="3" spans="1:13" x14ac:dyDescent="0.2">
      <c r="A3" s="18"/>
      <c r="B3" s="19"/>
    </row>
    <row r="4" spans="1:13" x14ac:dyDescent="0.2">
      <c r="A4" s="18"/>
      <c r="B4" s="19"/>
    </row>
    <row r="5" spans="1:13" x14ac:dyDescent="0.2">
      <c r="A5" s="18"/>
      <c r="B5" s="18"/>
    </row>
    <row r="6" spans="1:13" x14ac:dyDescent="0.2">
      <c r="A6" s="18"/>
      <c r="B6" s="18"/>
    </row>
    <row r="7" spans="1:13" x14ac:dyDescent="0.2">
      <c r="A7" s="18"/>
      <c r="B7" s="18"/>
    </row>
    <row r="8" spans="1:13" x14ac:dyDescent="0.2">
      <c r="A8" s="18"/>
      <c r="B8" s="18"/>
      <c r="G8" s="187" t="s">
        <v>565</v>
      </c>
      <c r="H8" s="188"/>
      <c r="I8" s="188"/>
      <c r="J8" s="188"/>
      <c r="K8" s="188"/>
      <c r="L8" s="188"/>
      <c r="M8" s="188"/>
    </row>
    <row r="9" spans="1:13" x14ac:dyDescent="0.2">
      <c r="A9" s="18"/>
      <c r="B9" s="18"/>
      <c r="G9" s="188"/>
      <c r="H9" s="188"/>
      <c r="I9" s="188"/>
      <c r="J9" s="188"/>
      <c r="K9" s="188"/>
      <c r="L9" s="188"/>
      <c r="M9" s="188"/>
    </row>
    <row r="10" spans="1:13" x14ac:dyDescent="0.2">
      <c r="G10" s="188"/>
      <c r="H10" s="188"/>
      <c r="I10" s="188"/>
      <c r="J10" s="188"/>
      <c r="K10" s="188"/>
      <c r="L10" s="188"/>
      <c r="M10" s="188"/>
    </row>
    <row r="11" spans="1:13" x14ac:dyDescent="0.2">
      <c r="A11" s="110" t="s">
        <v>174</v>
      </c>
      <c r="B11" s="110" t="s">
        <v>175</v>
      </c>
      <c r="C11" s="110" t="s">
        <v>51</v>
      </c>
    </row>
    <row r="12" spans="1:13" x14ac:dyDescent="0.2">
      <c r="A12" s="110" t="s">
        <v>124</v>
      </c>
      <c r="B12" s="111">
        <v>12.6</v>
      </c>
      <c r="C12" s="112"/>
    </row>
    <row r="13" spans="1:13" x14ac:dyDescent="0.2">
      <c r="A13" s="110" t="s">
        <v>110</v>
      </c>
      <c r="B13" s="111">
        <v>13.6</v>
      </c>
      <c r="C13" s="112"/>
    </row>
    <row r="14" spans="1:13" x14ac:dyDescent="0.2">
      <c r="A14" s="110" t="s">
        <v>107</v>
      </c>
      <c r="B14" s="111">
        <v>14.7</v>
      </c>
      <c r="C14" s="112"/>
    </row>
    <row r="15" spans="1:13" x14ac:dyDescent="0.2">
      <c r="A15" s="110" t="s">
        <v>36</v>
      </c>
      <c r="B15" s="111">
        <v>15.4</v>
      </c>
      <c r="C15" s="112"/>
    </row>
    <row r="16" spans="1:13" x14ac:dyDescent="0.2">
      <c r="A16" s="110" t="s">
        <v>125</v>
      </c>
      <c r="B16" s="111">
        <v>16.2</v>
      </c>
      <c r="C16" s="112" t="s">
        <v>75</v>
      </c>
    </row>
    <row r="17" spans="1:3" x14ac:dyDescent="0.2">
      <c r="A17" s="110" t="s">
        <v>39</v>
      </c>
      <c r="B17" s="111">
        <v>16.8</v>
      </c>
      <c r="C17" s="112" t="s">
        <v>75</v>
      </c>
    </row>
    <row r="18" spans="1:3" x14ac:dyDescent="0.2">
      <c r="A18" s="110" t="s">
        <v>4</v>
      </c>
      <c r="B18" s="111">
        <v>17.3</v>
      </c>
      <c r="C18" s="112" t="s">
        <v>75</v>
      </c>
    </row>
    <row r="19" spans="1:3" x14ac:dyDescent="0.2">
      <c r="A19" s="110" t="s">
        <v>114</v>
      </c>
      <c r="B19" s="111">
        <v>17.5</v>
      </c>
      <c r="C19" s="112" t="s">
        <v>75</v>
      </c>
    </row>
    <row r="20" spans="1:3" x14ac:dyDescent="0.2">
      <c r="A20" s="110" t="s">
        <v>109</v>
      </c>
      <c r="B20" s="111">
        <v>18.600000000000001</v>
      </c>
      <c r="C20" s="112" t="s">
        <v>75</v>
      </c>
    </row>
    <row r="21" spans="1:3" x14ac:dyDescent="0.2">
      <c r="A21" s="110" t="s">
        <v>38</v>
      </c>
      <c r="B21" s="111">
        <v>19.2</v>
      </c>
      <c r="C21" s="112" t="s">
        <v>75</v>
      </c>
    </row>
    <row r="22" spans="1:3" x14ac:dyDescent="0.2">
      <c r="A22" s="110" t="s">
        <v>108</v>
      </c>
      <c r="B22" s="111">
        <v>19.3</v>
      </c>
      <c r="C22" s="112" t="s">
        <v>75</v>
      </c>
    </row>
    <row r="23" spans="1:3" x14ac:dyDescent="0.2">
      <c r="A23" s="110" t="s">
        <v>35</v>
      </c>
      <c r="B23" s="111">
        <v>20.6</v>
      </c>
      <c r="C23" s="112" t="s">
        <v>75</v>
      </c>
    </row>
    <row r="24" spans="1:3" x14ac:dyDescent="0.2">
      <c r="A24" s="110" t="s">
        <v>102</v>
      </c>
      <c r="B24" s="111">
        <v>20.7</v>
      </c>
      <c r="C24" s="112" t="s">
        <v>75</v>
      </c>
    </row>
    <row r="25" spans="1:3" x14ac:dyDescent="0.2">
      <c r="A25" s="110" t="s">
        <v>111</v>
      </c>
      <c r="B25" s="111">
        <v>21</v>
      </c>
      <c r="C25" s="112" t="s">
        <v>75</v>
      </c>
    </row>
    <row r="26" spans="1:3" x14ac:dyDescent="0.2">
      <c r="A26" s="110" t="s">
        <v>121</v>
      </c>
      <c r="B26" s="111">
        <v>24.4</v>
      </c>
      <c r="C26" s="112" t="s">
        <v>75</v>
      </c>
    </row>
    <row r="27" spans="1:3" x14ac:dyDescent="0.2">
      <c r="A27" s="110" t="s">
        <v>566</v>
      </c>
      <c r="B27" s="111">
        <v>24.6</v>
      </c>
      <c r="C27" s="112" t="s">
        <v>75</v>
      </c>
    </row>
    <row r="28" spans="1:3" x14ac:dyDescent="0.2">
      <c r="A28" s="110" t="s">
        <v>37</v>
      </c>
      <c r="B28" s="111">
        <v>25.5</v>
      </c>
      <c r="C28" s="112" t="s">
        <v>75</v>
      </c>
    </row>
    <row r="29" spans="1:3" x14ac:dyDescent="0.2">
      <c r="A29" s="110" t="s">
        <v>568</v>
      </c>
      <c r="B29" s="111">
        <v>25.7</v>
      </c>
      <c r="C29" s="112" t="s">
        <v>75</v>
      </c>
    </row>
    <row r="30" spans="1:3" x14ac:dyDescent="0.2">
      <c r="A30" s="110" t="s">
        <v>106</v>
      </c>
      <c r="B30" s="111">
        <v>27.1</v>
      </c>
      <c r="C30" s="112" t="s">
        <v>75</v>
      </c>
    </row>
    <row r="31" spans="1:3" x14ac:dyDescent="0.2">
      <c r="A31" s="110" t="s">
        <v>120</v>
      </c>
      <c r="B31" s="111">
        <v>27.4</v>
      </c>
      <c r="C31" s="112" t="s">
        <v>75</v>
      </c>
    </row>
    <row r="32" spans="1:3" x14ac:dyDescent="0.2">
      <c r="A32" s="110" t="s">
        <v>122</v>
      </c>
      <c r="B32" s="111">
        <v>28</v>
      </c>
      <c r="C32" s="112" t="s">
        <v>75</v>
      </c>
    </row>
    <row r="33" spans="1:13" x14ac:dyDescent="0.2">
      <c r="A33" s="110" t="s">
        <v>126</v>
      </c>
      <c r="B33" s="111">
        <v>28.1</v>
      </c>
      <c r="C33" s="112" t="s">
        <v>75</v>
      </c>
      <c r="G33" s="191" t="s">
        <v>575</v>
      </c>
      <c r="H33" s="192"/>
      <c r="I33" s="192"/>
      <c r="J33" s="192"/>
      <c r="K33" s="192"/>
      <c r="L33" s="192"/>
      <c r="M33" s="192"/>
    </row>
    <row r="34" spans="1:13" x14ac:dyDescent="0.2">
      <c r="A34" s="110" t="s">
        <v>119</v>
      </c>
      <c r="B34" s="111">
        <v>28.3</v>
      </c>
      <c r="C34" s="112" t="s">
        <v>75</v>
      </c>
      <c r="G34" s="192"/>
      <c r="H34" s="192"/>
      <c r="I34" s="192"/>
      <c r="J34" s="192"/>
      <c r="K34" s="192"/>
      <c r="L34" s="192"/>
      <c r="M34" s="192"/>
    </row>
    <row r="35" spans="1:13" x14ac:dyDescent="0.2">
      <c r="A35" s="110" t="s">
        <v>127</v>
      </c>
      <c r="B35" s="111">
        <v>28.8</v>
      </c>
      <c r="C35" s="112" t="s">
        <v>75</v>
      </c>
    </row>
    <row r="36" spans="1:13" x14ac:dyDescent="0.2">
      <c r="A36" s="110" t="s">
        <v>117</v>
      </c>
      <c r="B36" s="111">
        <v>29.1</v>
      </c>
      <c r="C36" s="112" t="s">
        <v>75</v>
      </c>
    </row>
    <row r="37" spans="1:13" x14ac:dyDescent="0.2">
      <c r="A37" s="110" t="s">
        <v>99</v>
      </c>
      <c r="B37" s="111">
        <v>29.4</v>
      </c>
      <c r="C37" s="112" t="s">
        <v>75</v>
      </c>
    </row>
    <row r="38" spans="1:13" x14ac:dyDescent="0.2">
      <c r="A38" s="110" t="s">
        <v>81</v>
      </c>
      <c r="B38" s="111">
        <v>30</v>
      </c>
      <c r="C38" s="112" t="s">
        <v>75</v>
      </c>
    </row>
    <row r="39" spans="1:13" x14ac:dyDescent="0.2">
      <c r="A39" s="110" t="s">
        <v>570</v>
      </c>
      <c r="B39" s="111">
        <v>30.5</v>
      </c>
      <c r="C39" s="112" t="s">
        <v>75</v>
      </c>
      <c r="D39" s="180"/>
    </row>
    <row r="40" spans="1:13" x14ac:dyDescent="0.2">
      <c r="A40" s="110" t="s">
        <v>32</v>
      </c>
      <c r="B40" s="111">
        <v>32.9</v>
      </c>
      <c r="C40" s="112" t="s">
        <v>75</v>
      </c>
    </row>
    <row r="41" spans="1:13" x14ac:dyDescent="0.2">
      <c r="A41" s="110" t="s">
        <v>115</v>
      </c>
      <c r="B41" s="111">
        <v>33.799999999999997</v>
      </c>
      <c r="C41" s="112" t="s">
        <v>75</v>
      </c>
    </row>
    <row r="42" spans="1:13" x14ac:dyDescent="0.2">
      <c r="A42" s="110" t="s">
        <v>95</v>
      </c>
      <c r="B42" s="111">
        <v>33.9</v>
      </c>
      <c r="C42" s="112" t="s">
        <v>75</v>
      </c>
    </row>
    <row r="43" spans="1:13" x14ac:dyDescent="0.2">
      <c r="A43" s="110" t="s">
        <v>34</v>
      </c>
      <c r="B43" s="111">
        <v>38.9</v>
      </c>
      <c r="C43" s="112" t="s">
        <v>75</v>
      </c>
    </row>
    <row r="44" spans="1:13" x14ac:dyDescent="0.2">
      <c r="A44" s="110" t="s">
        <v>129</v>
      </c>
      <c r="B44" s="111">
        <v>40.299999999999997</v>
      </c>
      <c r="C44" s="112" t="s">
        <v>75</v>
      </c>
    </row>
    <row r="45" spans="1:13" x14ac:dyDescent="0.2">
      <c r="A45" s="110" t="s">
        <v>113</v>
      </c>
      <c r="B45" s="111">
        <v>43.5</v>
      </c>
      <c r="C45" s="112" t="s">
        <v>75</v>
      </c>
    </row>
    <row r="46" spans="1:13" x14ac:dyDescent="0.2">
      <c r="A46" s="110" t="s">
        <v>571</v>
      </c>
      <c r="B46" s="111">
        <v>45.2</v>
      </c>
      <c r="C46" s="112" t="s">
        <v>75</v>
      </c>
    </row>
    <row r="47" spans="1:13" x14ac:dyDescent="0.2">
      <c r="A47" s="110" t="s">
        <v>104</v>
      </c>
      <c r="B47" s="111">
        <v>54.4</v>
      </c>
      <c r="C47" s="112" t="s">
        <v>75</v>
      </c>
    </row>
    <row r="48" spans="1:13" x14ac:dyDescent="0.2">
      <c r="A48" s="110" t="s">
        <v>41</v>
      </c>
      <c r="B48" s="112" t="s">
        <v>58</v>
      </c>
      <c r="C48" s="112" t="s">
        <v>75</v>
      </c>
    </row>
    <row r="49" spans="1:13" s="181" customFormat="1" x14ac:dyDescent="0.2">
      <c r="A49" s="89"/>
      <c r="B49" s="18"/>
      <c r="C49" s="18"/>
    </row>
    <row r="50" spans="1:13" s="181" customFormat="1" x14ac:dyDescent="0.2">
      <c r="A50" s="89" t="s">
        <v>567</v>
      </c>
      <c r="B50" s="18"/>
      <c r="C50" s="18"/>
    </row>
    <row r="51" spans="1:13" s="181" customFormat="1" x14ac:dyDescent="0.2">
      <c r="A51" s="89" t="s">
        <v>569</v>
      </c>
      <c r="B51" s="18"/>
      <c r="C51" s="18"/>
    </row>
    <row r="52" spans="1:13" s="181" customFormat="1" x14ac:dyDescent="0.2">
      <c r="A52" s="89" t="s">
        <v>573</v>
      </c>
      <c r="B52" s="18"/>
      <c r="C52" s="18"/>
    </row>
    <row r="53" spans="1:13" x14ac:dyDescent="0.2">
      <c r="A53" s="182" t="s">
        <v>572</v>
      </c>
    </row>
    <row r="54" spans="1:13" s="181" customFormat="1" x14ac:dyDescent="0.2">
      <c r="A54" s="182" t="s">
        <v>576</v>
      </c>
    </row>
    <row r="55" spans="1:13" s="181" customFormat="1" x14ac:dyDescent="0.2">
      <c r="A55" s="183" t="s">
        <v>574</v>
      </c>
    </row>
    <row r="56" spans="1:13" s="181" customFormat="1" x14ac:dyDescent="0.2">
      <c r="A56" s="182"/>
    </row>
    <row r="57" spans="1:13" s="181" customFormat="1" x14ac:dyDescent="0.2">
      <c r="A57" s="182" t="s">
        <v>577</v>
      </c>
    </row>
    <row r="58" spans="1:13" x14ac:dyDescent="0.2">
      <c r="A58" s="18" t="s">
        <v>54</v>
      </c>
      <c r="E58" s="18" t="s">
        <v>55</v>
      </c>
    </row>
    <row r="59" spans="1:13" x14ac:dyDescent="0.2">
      <c r="A59" s="18" t="s">
        <v>56</v>
      </c>
      <c r="B59" s="18" t="s">
        <v>57</v>
      </c>
      <c r="E59" s="18" t="s">
        <v>58</v>
      </c>
      <c r="F59" s="18" t="s">
        <v>59</v>
      </c>
    </row>
    <row r="60" spans="1:13" x14ac:dyDescent="0.2">
      <c r="A60" s="18" t="s">
        <v>60</v>
      </c>
      <c r="B60" s="18" t="s">
        <v>61</v>
      </c>
      <c r="H60" s="191" t="s">
        <v>1</v>
      </c>
      <c r="I60" s="192"/>
      <c r="J60" s="192"/>
      <c r="K60" s="192"/>
      <c r="L60" s="192"/>
      <c r="M60" s="192"/>
    </row>
    <row r="61" spans="1:13" x14ac:dyDescent="0.2">
      <c r="A61" s="18" t="s">
        <v>62</v>
      </c>
      <c r="B61" s="18" t="s">
        <v>63</v>
      </c>
      <c r="H61" s="192"/>
      <c r="I61" s="192"/>
      <c r="J61" s="192"/>
      <c r="K61" s="192"/>
      <c r="L61" s="192"/>
      <c r="M61" s="192"/>
    </row>
    <row r="62" spans="1:13" x14ac:dyDescent="0.2">
      <c r="A62" s="18" t="s">
        <v>64</v>
      </c>
      <c r="B62" s="18" t="s">
        <v>65</v>
      </c>
      <c r="H62" s="192"/>
      <c r="I62" s="192"/>
      <c r="J62" s="192"/>
      <c r="K62" s="192"/>
      <c r="L62" s="192"/>
      <c r="M62" s="192"/>
    </row>
    <row r="63" spans="1:13" x14ac:dyDescent="0.2">
      <c r="A63" s="18" t="s">
        <v>66</v>
      </c>
      <c r="B63" s="18" t="s">
        <v>67</v>
      </c>
    </row>
    <row r="64" spans="1:13" x14ac:dyDescent="0.2">
      <c r="A64" s="18" t="s">
        <v>68</v>
      </c>
      <c r="B64" s="18" t="s">
        <v>50</v>
      </c>
    </row>
    <row r="65" spans="1:3" x14ac:dyDescent="0.2">
      <c r="A65" s="18" t="s">
        <v>141</v>
      </c>
      <c r="B65" s="18" t="s">
        <v>142</v>
      </c>
    </row>
    <row r="66" spans="1:3" x14ac:dyDescent="0.2">
      <c r="A66" s="18" t="s">
        <v>143</v>
      </c>
      <c r="B66" s="18" t="s">
        <v>144</v>
      </c>
    </row>
    <row r="67" spans="1:3" x14ac:dyDescent="0.2">
      <c r="A67" s="18" t="s">
        <v>145</v>
      </c>
      <c r="B67" s="18" t="s">
        <v>146</v>
      </c>
    </row>
    <row r="68" spans="1:3" x14ac:dyDescent="0.2">
      <c r="A68" s="18" t="s">
        <v>147</v>
      </c>
      <c r="B68" s="18" t="s">
        <v>148</v>
      </c>
    </row>
    <row r="69" spans="1:3" x14ac:dyDescent="0.2">
      <c r="A69" s="18" t="s">
        <v>53</v>
      </c>
      <c r="B69" s="18" t="s">
        <v>149</v>
      </c>
    </row>
    <row r="70" spans="1:3" x14ac:dyDescent="0.2">
      <c r="A70" s="18" t="s">
        <v>150</v>
      </c>
      <c r="B70" s="18" t="s">
        <v>71</v>
      </c>
    </row>
    <row r="72" spans="1:3" x14ac:dyDescent="0.2">
      <c r="A72" s="18" t="s">
        <v>172</v>
      </c>
      <c r="B72" s="18" t="s">
        <v>31</v>
      </c>
    </row>
    <row r="73" spans="1:3" x14ac:dyDescent="0.2">
      <c r="A73" s="18" t="s">
        <v>168</v>
      </c>
      <c r="B73" s="18" t="s">
        <v>8</v>
      </c>
    </row>
    <row r="74" spans="1:3" x14ac:dyDescent="0.2">
      <c r="A74" s="18" t="s">
        <v>169</v>
      </c>
      <c r="B74" s="18" t="s">
        <v>89</v>
      </c>
    </row>
    <row r="76" spans="1:3" x14ac:dyDescent="0.2">
      <c r="A76" s="110" t="s">
        <v>174</v>
      </c>
      <c r="B76" s="110" t="s">
        <v>175</v>
      </c>
      <c r="C76" s="110" t="s">
        <v>51</v>
      </c>
    </row>
    <row r="77" spans="1:3" x14ac:dyDescent="0.2">
      <c r="A77" s="110" t="s">
        <v>125</v>
      </c>
      <c r="B77" s="111">
        <v>12.2</v>
      </c>
      <c r="C77" s="112" t="s">
        <v>75</v>
      </c>
    </row>
    <row r="78" spans="1:3" x14ac:dyDescent="0.2">
      <c r="A78" s="110" t="s">
        <v>110</v>
      </c>
      <c r="B78" s="111">
        <v>12.9</v>
      </c>
      <c r="C78" s="112" t="s">
        <v>75</v>
      </c>
    </row>
    <row r="79" spans="1:3" x14ac:dyDescent="0.2">
      <c r="A79" s="110" t="s">
        <v>38</v>
      </c>
      <c r="B79" s="111">
        <v>13.2</v>
      </c>
      <c r="C79" s="112" t="s">
        <v>75</v>
      </c>
    </row>
    <row r="80" spans="1:3" x14ac:dyDescent="0.2">
      <c r="A80" s="110" t="s">
        <v>107</v>
      </c>
      <c r="B80" s="111">
        <v>14.3</v>
      </c>
      <c r="C80" s="112" t="s">
        <v>75</v>
      </c>
    </row>
    <row r="81" spans="1:14" x14ac:dyDescent="0.2">
      <c r="A81" s="110" t="s">
        <v>108</v>
      </c>
      <c r="B81" s="111">
        <v>16.8</v>
      </c>
      <c r="C81" s="112" t="s">
        <v>75</v>
      </c>
    </row>
    <row r="82" spans="1:14" x14ac:dyDescent="0.2">
      <c r="A82" s="110" t="s">
        <v>39</v>
      </c>
      <c r="B82" s="111">
        <v>17.8</v>
      </c>
      <c r="C82" s="112" t="s">
        <v>75</v>
      </c>
    </row>
    <row r="83" spans="1:14" x14ac:dyDescent="0.2">
      <c r="A83" s="110" t="s">
        <v>36</v>
      </c>
      <c r="B83" s="111">
        <v>18</v>
      </c>
      <c r="C83" s="112" t="s">
        <v>75</v>
      </c>
    </row>
    <row r="84" spans="1:14" x14ac:dyDescent="0.2">
      <c r="A84" s="110" t="s">
        <v>102</v>
      </c>
      <c r="B84" s="111">
        <v>18.5</v>
      </c>
      <c r="C84" s="112" t="s">
        <v>75</v>
      </c>
    </row>
    <row r="85" spans="1:14" x14ac:dyDescent="0.2">
      <c r="A85" s="110" t="s">
        <v>114</v>
      </c>
      <c r="B85" s="111">
        <v>18.600000000000001</v>
      </c>
      <c r="C85" s="112" t="s">
        <v>75</v>
      </c>
    </row>
    <row r="86" spans="1:14" x14ac:dyDescent="0.2">
      <c r="A86" s="110" t="s">
        <v>9</v>
      </c>
      <c r="B86" s="111">
        <v>19.100000000000001</v>
      </c>
      <c r="C86" s="112" t="s">
        <v>75</v>
      </c>
      <c r="H86" s="191" t="s">
        <v>498</v>
      </c>
      <c r="I86" s="192"/>
      <c r="J86" s="192"/>
      <c r="K86" s="192"/>
      <c r="L86" s="192"/>
      <c r="M86" s="192"/>
      <c r="N86" s="192"/>
    </row>
    <row r="87" spans="1:14" x14ac:dyDescent="0.2">
      <c r="A87" s="110" t="s">
        <v>109</v>
      </c>
      <c r="B87" s="111">
        <v>19.7</v>
      </c>
      <c r="C87" s="112" t="s">
        <v>75</v>
      </c>
      <c r="H87" s="192"/>
      <c r="I87" s="192"/>
      <c r="J87" s="192"/>
      <c r="K87" s="192"/>
      <c r="L87" s="192"/>
      <c r="M87" s="192"/>
      <c r="N87" s="192"/>
    </row>
    <row r="88" spans="1:14" x14ac:dyDescent="0.2">
      <c r="A88" s="110" t="s">
        <v>111</v>
      </c>
      <c r="B88" s="111">
        <v>20.2</v>
      </c>
      <c r="C88" s="112" t="s">
        <v>75</v>
      </c>
    </row>
    <row r="89" spans="1:14" x14ac:dyDescent="0.2">
      <c r="A89" s="110" t="s">
        <v>124</v>
      </c>
      <c r="B89" s="111">
        <v>20.6</v>
      </c>
      <c r="C89" s="112" t="s">
        <v>75</v>
      </c>
    </row>
    <row r="90" spans="1:14" x14ac:dyDescent="0.2">
      <c r="A90" s="110" t="s">
        <v>99</v>
      </c>
      <c r="B90" s="111">
        <v>22.1</v>
      </c>
      <c r="C90" s="112" t="s">
        <v>75</v>
      </c>
    </row>
    <row r="91" spans="1:14" x14ac:dyDescent="0.2">
      <c r="A91" s="110" t="s">
        <v>121</v>
      </c>
      <c r="B91" s="111">
        <v>23.9</v>
      </c>
      <c r="C91" s="112" t="s">
        <v>75</v>
      </c>
    </row>
    <row r="92" spans="1:14" x14ac:dyDescent="0.2">
      <c r="A92" s="110" t="s">
        <v>5</v>
      </c>
      <c r="B92" s="111">
        <v>24.6</v>
      </c>
      <c r="C92" s="112" t="s">
        <v>75</v>
      </c>
    </row>
    <row r="93" spans="1:14" x14ac:dyDescent="0.2">
      <c r="A93" s="110" t="s">
        <v>6</v>
      </c>
      <c r="B93" s="111">
        <v>26.5</v>
      </c>
      <c r="C93" s="112" t="s">
        <v>75</v>
      </c>
    </row>
    <row r="94" spans="1:14" x14ac:dyDescent="0.2">
      <c r="A94" s="110" t="s">
        <v>81</v>
      </c>
      <c r="B94" s="111">
        <v>27</v>
      </c>
      <c r="C94" s="112" t="s">
        <v>75</v>
      </c>
    </row>
    <row r="95" spans="1:14" x14ac:dyDescent="0.2">
      <c r="A95" s="110" t="s">
        <v>106</v>
      </c>
      <c r="B95" s="111">
        <v>28.1</v>
      </c>
      <c r="C95" s="112" t="s">
        <v>75</v>
      </c>
    </row>
    <row r="96" spans="1:14" x14ac:dyDescent="0.2">
      <c r="A96" s="110" t="s">
        <v>37</v>
      </c>
      <c r="B96" s="111">
        <v>28.4</v>
      </c>
      <c r="C96" s="112" t="s">
        <v>75</v>
      </c>
    </row>
    <row r="97" spans="1:3" x14ac:dyDescent="0.2">
      <c r="A97" s="110" t="s">
        <v>126</v>
      </c>
      <c r="B97" s="111">
        <v>28.7</v>
      </c>
      <c r="C97" s="112" t="s">
        <v>75</v>
      </c>
    </row>
    <row r="98" spans="1:3" x14ac:dyDescent="0.2">
      <c r="A98" s="110" t="s">
        <v>95</v>
      </c>
      <c r="B98" s="111">
        <v>28.9</v>
      </c>
      <c r="C98" s="112" t="s">
        <v>75</v>
      </c>
    </row>
    <row r="99" spans="1:3" x14ac:dyDescent="0.2">
      <c r="A99" s="110" t="s">
        <v>117</v>
      </c>
      <c r="B99" s="111">
        <v>30.7</v>
      </c>
      <c r="C99" s="112" t="s">
        <v>75</v>
      </c>
    </row>
    <row r="100" spans="1:3" x14ac:dyDescent="0.2">
      <c r="A100" s="110" t="s">
        <v>127</v>
      </c>
      <c r="B100" s="111">
        <v>30.8</v>
      </c>
      <c r="C100" s="112" t="s">
        <v>75</v>
      </c>
    </row>
    <row r="101" spans="1:3" x14ac:dyDescent="0.2">
      <c r="A101" s="110" t="s">
        <v>122</v>
      </c>
      <c r="B101" s="111">
        <v>31.9</v>
      </c>
      <c r="C101" s="112" t="s">
        <v>75</v>
      </c>
    </row>
    <row r="102" spans="1:3" x14ac:dyDescent="0.2">
      <c r="A102" s="110" t="s">
        <v>35</v>
      </c>
      <c r="B102" s="111">
        <v>31.9</v>
      </c>
      <c r="C102" s="112" t="s">
        <v>75</v>
      </c>
    </row>
    <row r="103" spans="1:3" x14ac:dyDescent="0.2">
      <c r="A103" s="110" t="s">
        <v>7</v>
      </c>
      <c r="B103" s="111">
        <v>34.4</v>
      </c>
      <c r="C103" s="112" t="s">
        <v>75</v>
      </c>
    </row>
    <row r="104" spans="1:3" x14ac:dyDescent="0.2">
      <c r="A104" s="110" t="s">
        <v>115</v>
      </c>
      <c r="B104" s="111">
        <v>35</v>
      </c>
      <c r="C104" s="112" t="s">
        <v>75</v>
      </c>
    </row>
    <row r="105" spans="1:3" x14ac:dyDescent="0.2">
      <c r="A105" s="110" t="s">
        <v>32</v>
      </c>
      <c r="B105" s="111">
        <v>38.1</v>
      </c>
      <c r="C105" s="112" t="s">
        <v>75</v>
      </c>
    </row>
    <row r="106" spans="1:3" x14ac:dyDescent="0.2">
      <c r="A106" s="110" t="s">
        <v>119</v>
      </c>
      <c r="B106" s="111">
        <v>38.6</v>
      </c>
      <c r="C106" s="112" t="s">
        <v>75</v>
      </c>
    </row>
    <row r="107" spans="1:3" x14ac:dyDescent="0.2">
      <c r="A107" s="110" t="s">
        <v>113</v>
      </c>
      <c r="B107" s="111">
        <v>39.9</v>
      </c>
      <c r="C107" s="112" t="s">
        <v>75</v>
      </c>
    </row>
    <row r="108" spans="1:3" x14ac:dyDescent="0.2">
      <c r="A108" s="110" t="s">
        <v>120</v>
      </c>
      <c r="B108" s="111">
        <v>42.8</v>
      </c>
      <c r="C108" s="112" t="s">
        <v>75</v>
      </c>
    </row>
    <row r="109" spans="1:3" x14ac:dyDescent="0.2">
      <c r="A109" s="110" t="s">
        <v>34</v>
      </c>
      <c r="B109" s="111">
        <v>43.6</v>
      </c>
      <c r="C109" s="112" t="s">
        <v>75</v>
      </c>
    </row>
    <row r="110" spans="1:3" x14ac:dyDescent="0.2">
      <c r="A110" s="110" t="s">
        <v>10</v>
      </c>
      <c r="B110" s="111">
        <v>43.6</v>
      </c>
      <c r="C110" s="112" t="s">
        <v>75</v>
      </c>
    </row>
    <row r="111" spans="1:3" x14ac:dyDescent="0.2">
      <c r="A111" s="110" t="s">
        <v>129</v>
      </c>
      <c r="B111" s="111">
        <v>46.1</v>
      </c>
      <c r="C111" s="112" t="s">
        <v>75</v>
      </c>
    </row>
    <row r="112" spans="1:3" x14ac:dyDescent="0.2">
      <c r="A112" s="110" t="s">
        <v>104</v>
      </c>
      <c r="B112" s="111">
        <v>52.3</v>
      </c>
      <c r="C112" s="112" t="s">
        <v>75</v>
      </c>
    </row>
    <row r="113" spans="1:6" x14ac:dyDescent="0.2">
      <c r="A113" s="110" t="s">
        <v>41</v>
      </c>
      <c r="B113" s="112" t="s">
        <v>58</v>
      </c>
      <c r="C113" s="112" t="s">
        <v>75</v>
      </c>
    </row>
    <row r="115" spans="1:6" x14ac:dyDescent="0.2">
      <c r="A115" s="18" t="s">
        <v>54</v>
      </c>
      <c r="E115" s="18" t="s">
        <v>55</v>
      </c>
    </row>
    <row r="116" spans="1:6" x14ac:dyDescent="0.2">
      <c r="A116" s="18" t="s">
        <v>56</v>
      </c>
      <c r="B116" s="18" t="s">
        <v>57</v>
      </c>
      <c r="E116" s="18" t="s">
        <v>58</v>
      </c>
      <c r="F116" s="18" t="s">
        <v>59</v>
      </c>
    </row>
    <row r="117" spans="1:6" x14ac:dyDescent="0.2">
      <c r="A117" s="18" t="s">
        <v>60</v>
      </c>
      <c r="B117" s="18" t="s">
        <v>61</v>
      </c>
    </row>
    <row r="118" spans="1:6" x14ac:dyDescent="0.2">
      <c r="A118" s="18" t="s">
        <v>62</v>
      </c>
      <c r="B118" s="18" t="s">
        <v>63</v>
      </c>
    </row>
    <row r="119" spans="1:6" x14ac:dyDescent="0.2">
      <c r="A119" s="18" t="s">
        <v>64</v>
      </c>
      <c r="B119" s="18" t="s">
        <v>65</v>
      </c>
    </row>
    <row r="120" spans="1:6" x14ac:dyDescent="0.2">
      <c r="A120" s="18" t="s">
        <v>66</v>
      </c>
      <c r="B120" s="18" t="s">
        <v>67</v>
      </c>
    </row>
    <row r="121" spans="1:6" x14ac:dyDescent="0.2">
      <c r="A121" s="18" t="s">
        <v>68</v>
      </c>
      <c r="B121" s="18" t="s">
        <v>50</v>
      </c>
    </row>
    <row r="122" spans="1:6" x14ac:dyDescent="0.2">
      <c r="A122" s="18" t="s">
        <v>141</v>
      </c>
      <c r="B122" s="18" t="s">
        <v>142</v>
      </c>
    </row>
    <row r="123" spans="1:6" x14ac:dyDescent="0.2">
      <c r="A123" s="18" t="s">
        <v>143</v>
      </c>
      <c r="B123" s="18" t="s">
        <v>144</v>
      </c>
    </row>
    <row r="124" spans="1:6" x14ac:dyDescent="0.2">
      <c r="A124" s="18" t="s">
        <v>145</v>
      </c>
      <c r="B124" s="18" t="s">
        <v>146</v>
      </c>
    </row>
    <row r="125" spans="1:6" x14ac:dyDescent="0.2">
      <c r="A125" s="18" t="s">
        <v>147</v>
      </c>
      <c r="B125" s="18" t="s">
        <v>148</v>
      </c>
    </row>
    <row r="126" spans="1:6" x14ac:dyDescent="0.2">
      <c r="A126" s="18" t="s">
        <v>53</v>
      </c>
      <c r="B126" s="18" t="s">
        <v>149</v>
      </c>
    </row>
    <row r="127" spans="1:6" x14ac:dyDescent="0.2">
      <c r="A127" s="18" t="s">
        <v>150</v>
      </c>
      <c r="B127" s="18" t="s">
        <v>71</v>
      </c>
    </row>
  </sheetData>
  <mergeCells count="4">
    <mergeCell ref="G8:M10"/>
    <mergeCell ref="G33:M34"/>
    <mergeCell ref="H60:M62"/>
    <mergeCell ref="H86:N87"/>
  </mergeCells>
  <phoneticPr fontId="7" type="noConversion"/>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7"/>
  <sheetViews>
    <sheetView topLeftCell="A71" workbookViewId="0">
      <selection activeCell="K104" sqref="K104"/>
    </sheetView>
  </sheetViews>
  <sheetFormatPr baseColWidth="10" defaultColWidth="10.1640625" defaultRowHeight="15" x14ac:dyDescent="0.2"/>
  <cols>
    <col min="1" max="16384" width="10.1640625" style="119"/>
  </cols>
  <sheetData>
    <row r="1" spans="1:3" x14ac:dyDescent="0.2">
      <c r="A1" s="18" t="s">
        <v>30</v>
      </c>
    </row>
    <row r="3" spans="1:3" x14ac:dyDescent="0.2">
      <c r="A3" s="18" t="s">
        <v>306</v>
      </c>
      <c r="B3" s="132">
        <v>42170.50509259259</v>
      </c>
    </row>
    <row r="4" spans="1:3" x14ac:dyDescent="0.2">
      <c r="A4" s="18" t="s">
        <v>161</v>
      </c>
      <c r="B4" s="132">
        <v>42179.967585439816</v>
      </c>
    </row>
    <row r="5" spans="1:3" x14ac:dyDescent="0.2">
      <c r="A5" s="18" t="s">
        <v>162</v>
      </c>
      <c r="B5" s="18" t="s">
        <v>163</v>
      </c>
    </row>
    <row r="6" spans="1:3" x14ac:dyDescent="0.2">
      <c r="A6" s="18" t="s">
        <v>164</v>
      </c>
      <c r="B6" s="18" t="s">
        <v>165</v>
      </c>
    </row>
    <row r="7" spans="1:3" x14ac:dyDescent="0.2">
      <c r="A7" s="18" t="s">
        <v>172</v>
      </c>
      <c r="B7" s="18" t="s">
        <v>31</v>
      </c>
    </row>
    <row r="8" spans="1:3" x14ac:dyDescent="0.2">
      <c r="A8" s="18" t="s">
        <v>168</v>
      </c>
      <c r="B8" s="18" t="s">
        <v>11</v>
      </c>
    </row>
    <row r="9" spans="1:3" x14ac:dyDescent="0.2">
      <c r="A9" s="18" t="s">
        <v>169</v>
      </c>
      <c r="B9" s="18" t="s">
        <v>89</v>
      </c>
    </row>
    <row r="11" spans="1:3" x14ac:dyDescent="0.2">
      <c r="A11" s="110" t="s">
        <v>174</v>
      </c>
      <c r="B11" s="110" t="s">
        <v>175</v>
      </c>
      <c r="C11" s="110" t="s">
        <v>51</v>
      </c>
    </row>
    <row r="12" spans="1:3" x14ac:dyDescent="0.2">
      <c r="A12" s="110" t="s">
        <v>108</v>
      </c>
      <c r="B12" s="133">
        <v>9.6</v>
      </c>
      <c r="C12" s="112" t="s">
        <v>75</v>
      </c>
    </row>
    <row r="13" spans="1:3" x14ac:dyDescent="0.2">
      <c r="A13" s="110" t="s">
        <v>125</v>
      </c>
      <c r="B13" s="133">
        <v>10.1</v>
      </c>
      <c r="C13" s="112" t="s">
        <v>75</v>
      </c>
    </row>
    <row r="14" spans="1:3" x14ac:dyDescent="0.2">
      <c r="A14" s="110" t="s">
        <v>110</v>
      </c>
      <c r="B14" s="133">
        <v>11.7</v>
      </c>
      <c r="C14" s="112" t="s">
        <v>75</v>
      </c>
    </row>
    <row r="15" spans="1:3" x14ac:dyDescent="0.2">
      <c r="A15" s="110" t="s">
        <v>38</v>
      </c>
      <c r="B15" s="133">
        <v>15.6</v>
      </c>
      <c r="C15" s="112" t="s">
        <v>75</v>
      </c>
    </row>
    <row r="16" spans="1:3" x14ac:dyDescent="0.2">
      <c r="A16" s="110" t="s">
        <v>39</v>
      </c>
      <c r="B16" s="133">
        <v>16.3</v>
      </c>
      <c r="C16" s="112" t="s">
        <v>75</v>
      </c>
    </row>
    <row r="17" spans="1:11" x14ac:dyDescent="0.2">
      <c r="A17" s="110" t="s">
        <v>107</v>
      </c>
      <c r="B17" s="133">
        <v>16.5</v>
      </c>
      <c r="C17" s="112" t="s">
        <v>75</v>
      </c>
    </row>
    <row r="18" spans="1:11" x14ac:dyDescent="0.2">
      <c r="A18" s="110" t="s">
        <v>124</v>
      </c>
      <c r="B18" s="133">
        <v>16.7</v>
      </c>
      <c r="C18" s="112" t="s">
        <v>75</v>
      </c>
      <c r="F18" s="191" t="s">
        <v>499</v>
      </c>
      <c r="G18" s="192"/>
      <c r="H18" s="192"/>
      <c r="I18" s="192"/>
      <c r="J18" s="192"/>
      <c r="K18" s="192"/>
    </row>
    <row r="19" spans="1:11" x14ac:dyDescent="0.2">
      <c r="A19" s="110" t="s">
        <v>114</v>
      </c>
      <c r="B19" s="133">
        <v>17.2</v>
      </c>
      <c r="C19" s="112" t="s">
        <v>75</v>
      </c>
      <c r="F19" s="192"/>
      <c r="G19" s="192"/>
      <c r="H19" s="192"/>
      <c r="I19" s="192"/>
      <c r="J19" s="192"/>
      <c r="K19" s="192"/>
    </row>
    <row r="20" spans="1:11" x14ac:dyDescent="0.2">
      <c r="A20" s="110" t="s">
        <v>36</v>
      </c>
      <c r="B20" s="133">
        <v>18.3</v>
      </c>
      <c r="C20" s="112" t="s">
        <v>75</v>
      </c>
      <c r="F20" s="192"/>
      <c r="G20" s="192"/>
      <c r="H20" s="192"/>
      <c r="I20" s="192"/>
      <c r="J20" s="192"/>
      <c r="K20" s="192"/>
    </row>
    <row r="21" spans="1:11" x14ac:dyDescent="0.2">
      <c r="A21" s="110" t="s">
        <v>99</v>
      </c>
      <c r="B21" s="133">
        <v>20.399999999999999</v>
      </c>
      <c r="C21" s="112" t="s">
        <v>75</v>
      </c>
    </row>
    <row r="22" spans="1:11" x14ac:dyDescent="0.2">
      <c r="A22" s="110" t="s">
        <v>111</v>
      </c>
      <c r="B22" s="133">
        <v>20.399999999999999</v>
      </c>
      <c r="C22" s="112" t="s">
        <v>75</v>
      </c>
    </row>
    <row r="23" spans="1:11" x14ac:dyDescent="0.2">
      <c r="A23" s="110" t="s">
        <v>12</v>
      </c>
      <c r="B23" s="133">
        <v>22</v>
      </c>
      <c r="C23" s="112" t="s">
        <v>75</v>
      </c>
    </row>
    <row r="24" spans="1:11" x14ac:dyDescent="0.2">
      <c r="A24" s="110" t="s">
        <v>109</v>
      </c>
      <c r="B24" s="133">
        <v>22.2</v>
      </c>
      <c r="C24" s="112" t="s">
        <v>75</v>
      </c>
    </row>
    <row r="25" spans="1:11" x14ac:dyDescent="0.2">
      <c r="A25" s="110" t="s">
        <v>121</v>
      </c>
      <c r="B25" s="133">
        <v>24.1</v>
      </c>
      <c r="C25" s="112" t="s">
        <v>75</v>
      </c>
    </row>
    <row r="26" spans="1:11" x14ac:dyDescent="0.2">
      <c r="A26" s="110" t="s">
        <v>102</v>
      </c>
      <c r="B26" s="133">
        <v>24.8</v>
      </c>
      <c r="C26" s="112" t="s">
        <v>75</v>
      </c>
    </row>
    <row r="27" spans="1:11" x14ac:dyDescent="0.2">
      <c r="A27" s="110" t="s">
        <v>35</v>
      </c>
      <c r="B27" s="133">
        <v>26.6</v>
      </c>
      <c r="C27" s="112" t="s">
        <v>75</v>
      </c>
    </row>
    <row r="28" spans="1:11" x14ac:dyDescent="0.2">
      <c r="A28" s="110" t="s">
        <v>106</v>
      </c>
      <c r="B28" s="133">
        <v>26.9</v>
      </c>
      <c r="C28" s="112" t="s">
        <v>75</v>
      </c>
    </row>
    <row r="29" spans="1:11" x14ac:dyDescent="0.2">
      <c r="A29" s="110" t="s">
        <v>5</v>
      </c>
      <c r="B29" s="133">
        <v>27.6</v>
      </c>
      <c r="C29" s="112" t="s">
        <v>75</v>
      </c>
    </row>
    <row r="30" spans="1:11" x14ac:dyDescent="0.2">
      <c r="A30" s="110" t="s">
        <v>6</v>
      </c>
      <c r="B30" s="133">
        <v>29.8</v>
      </c>
      <c r="C30" s="112" t="s">
        <v>75</v>
      </c>
    </row>
    <row r="31" spans="1:11" x14ac:dyDescent="0.2">
      <c r="A31" s="110" t="s">
        <v>126</v>
      </c>
      <c r="B31" s="133">
        <v>30</v>
      </c>
      <c r="C31" s="112" t="s">
        <v>75</v>
      </c>
    </row>
    <row r="32" spans="1:11" x14ac:dyDescent="0.2">
      <c r="A32" s="110" t="s">
        <v>81</v>
      </c>
      <c r="B32" s="133">
        <v>30.8</v>
      </c>
      <c r="C32" s="112" t="s">
        <v>75</v>
      </c>
    </row>
    <row r="33" spans="1:12" x14ac:dyDescent="0.2">
      <c r="A33" s="110" t="s">
        <v>127</v>
      </c>
      <c r="B33" s="133">
        <v>32.200000000000003</v>
      </c>
      <c r="C33" s="112" t="s">
        <v>75</v>
      </c>
    </row>
    <row r="34" spans="1:12" x14ac:dyDescent="0.2">
      <c r="A34" s="110" t="s">
        <v>95</v>
      </c>
      <c r="B34" s="133">
        <v>33.4</v>
      </c>
      <c r="C34" s="112" t="s">
        <v>75</v>
      </c>
    </row>
    <row r="35" spans="1:12" x14ac:dyDescent="0.2">
      <c r="A35" s="110" t="s">
        <v>122</v>
      </c>
      <c r="B35" s="133">
        <v>33.6</v>
      </c>
      <c r="C35" s="112" t="s">
        <v>75</v>
      </c>
    </row>
    <row r="36" spans="1:12" x14ac:dyDescent="0.2">
      <c r="A36" s="110" t="s">
        <v>117</v>
      </c>
      <c r="B36" s="133">
        <v>35.299999999999997</v>
      </c>
      <c r="C36" s="112" t="s">
        <v>75</v>
      </c>
    </row>
    <row r="37" spans="1:12" x14ac:dyDescent="0.2">
      <c r="A37" s="110" t="s">
        <v>115</v>
      </c>
      <c r="B37" s="133">
        <v>37.1</v>
      </c>
      <c r="C37" s="112" t="s">
        <v>75</v>
      </c>
    </row>
    <row r="38" spans="1:12" x14ac:dyDescent="0.2">
      <c r="A38" s="110" t="s">
        <v>13</v>
      </c>
      <c r="B38" s="133">
        <v>38.6</v>
      </c>
      <c r="C38" s="112" t="s">
        <v>75</v>
      </c>
    </row>
    <row r="39" spans="1:12" x14ac:dyDescent="0.2">
      <c r="A39" s="110" t="s">
        <v>37</v>
      </c>
      <c r="B39" s="133">
        <v>39.4</v>
      </c>
      <c r="C39" s="112" t="s">
        <v>75</v>
      </c>
    </row>
    <row r="40" spans="1:12" x14ac:dyDescent="0.2">
      <c r="A40" s="110" t="s">
        <v>113</v>
      </c>
      <c r="B40" s="133">
        <v>41</v>
      </c>
      <c r="C40" s="112" t="s">
        <v>75</v>
      </c>
    </row>
    <row r="41" spans="1:12" x14ac:dyDescent="0.2">
      <c r="A41" s="110" t="s">
        <v>34</v>
      </c>
      <c r="B41" s="133">
        <v>42.8</v>
      </c>
      <c r="C41" s="112" t="s">
        <v>75</v>
      </c>
    </row>
    <row r="42" spans="1:12" x14ac:dyDescent="0.2">
      <c r="A42" s="110" t="s">
        <v>32</v>
      </c>
      <c r="B42" s="133">
        <v>43.7</v>
      </c>
      <c r="C42" s="112" t="s">
        <v>75</v>
      </c>
    </row>
    <row r="43" spans="1:12" x14ac:dyDescent="0.2">
      <c r="A43" s="110" t="s">
        <v>119</v>
      </c>
      <c r="B43" s="133">
        <v>44.4</v>
      </c>
      <c r="C43" s="112" t="s">
        <v>75</v>
      </c>
    </row>
    <row r="44" spans="1:12" x14ac:dyDescent="0.2">
      <c r="A44" s="110" t="s">
        <v>120</v>
      </c>
      <c r="B44" s="133">
        <v>48.8</v>
      </c>
      <c r="C44" s="112" t="s">
        <v>75</v>
      </c>
    </row>
    <row r="45" spans="1:12" ht="14" customHeight="1" x14ac:dyDescent="0.2">
      <c r="A45" s="110" t="s">
        <v>129</v>
      </c>
      <c r="B45" s="133">
        <v>53.7</v>
      </c>
      <c r="C45" s="112" t="s">
        <v>75</v>
      </c>
      <c r="F45" s="191" t="s">
        <v>501</v>
      </c>
      <c r="G45" s="191"/>
      <c r="H45" s="191"/>
      <c r="I45" s="191"/>
      <c r="J45" s="191"/>
      <c r="K45" s="191"/>
      <c r="L45" s="191"/>
    </row>
    <row r="46" spans="1:12" x14ac:dyDescent="0.2">
      <c r="A46" s="110" t="s">
        <v>14</v>
      </c>
      <c r="B46" s="133">
        <v>55.1</v>
      </c>
      <c r="C46" s="112" t="s">
        <v>75</v>
      </c>
      <c r="F46" s="191"/>
      <c r="G46" s="191"/>
      <c r="H46" s="191"/>
      <c r="I46" s="191"/>
      <c r="J46" s="191"/>
      <c r="K46" s="191"/>
      <c r="L46" s="191"/>
    </row>
    <row r="47" spans="1:12" x14ac:dyDescent="0.2">
      <c r="A47" s="110" t="s">
        <v>104</v>
      </c>
      <c r="B47" s="133">
        <v>57</v>
      </c>
      <c r="C47" s="112" t="s">
        <v>75</v>
      </c>
    </row>
    <row r="49" spans="1:6" x14ac:dyDescent="0.2">
      <c r="A49" s="18" t="s">
        <v>54</v>
      </c>
      <c r="E49" s="18" t="s">
        <v>55</v>
      </c>
    </row>
    <row r="50" spans="1:6" x14ac:dyDescent="0.2">
      <c r="A50" s="18" t="s">
        <v>56</v>
      </c>
      <c r="B50" s="18" t="s">
        <v>57</v>
      </c>
      <c r="E50" s="18" t="s">
        <v>58</v>
      </c>
      <c r="F50" s="18" t="s">
        <v>59</v>
      </c>
    </row>
    <row r="51" spans="1:6" x14ac:dyDescent="0.2">
      <c r="A51" s="18" t="s">
        <v>60</v>
      </c>
      <c r="B51" s="18" t="s">
        <v>61</v>
      </c>
    </row>
    <row r="52" spans="1:6" x14ac:dyDescent="0.2">
      <c r="A52" s="18" t="s">
        <v>62</v>
      </c>
      <c r="B52" s="18" t="s">
        <v>63</v>
      </c>
    </row>
    <row r="53" spans="1:6" x14ac:dyDescent="0.2">
      <c r="A53" s="18" t="s">
        <v>64</v>
      </c>
      <c r="B53" s="18" t="s">
        <v>65</v>
      </c>
    </row>
    <row r="54" spans="1:6" x14ac:dyDescent="0.2">
      <c r="A54" s="18" t="s">
        <v>66</v>
      </c>
      <c r="B54" s="18" t="s">
        <v>67</v>
      </c>
    </row>
    <row r="55" spans="1:6" x14ac:dyDescent="0.2">
      <c r="A55" s="18" t="s">
        <v>68</v>
      </c>
      <c r="B55" s="18" t="s">
        <v>50</v>
      </c>
    </row>
    <row r="56" spans="1:6" x14ac:dyDescent="0.2">
      <c r="A56" s="18" t="s">
        <v>141</v>
      </c>
      <c r="B56" s="18" t="s">
        <v>142</v>
      </c>
    </row>
    <row r="57" spans="1:6" x14ac:dyDescent="0.2">
      <c r="A57" s="18" t="s">
        <v>143</v>
      </c>
      <c r="B57" s="18" t="s">
        <v>144</v>
      </c>
    </row>
    <row r="58" spans="1:6" x14ac:dyDescent="0.2">
      <c r="A58" s="18" t="s">
        <v>145</v>
      </c>
      <c r="B58" s="18" t="s">
        <v>146</v>
      </c>
    </row>
    <row r="59" spans="1:6" x14ac:dyDescent="0.2">
      <c r="A59" s="18" t="s">
        <v>147</v>
      </c>
      <c r="B59" s="18" t="s">
        <v>148</v>
      </c>
    </row>
    <row r="60" spans="1:6" x14ac:dyDescent="0.2">
      <c r="A60" s="18" t="s">
        <v>53</v>
      </c>
      <c r="B60" s="18" t="s">
        <v>149</v>
      </c>
    </row>
    <row r="61" spans="1:6" x14ac:dyDescent="0.2">
      <c r="A61" s="18" t="s">
        <v>150</v>
      </c>
      <c r="B61" s="18" t="s">
        <v>71</v>
      </c>
    </row>
    <row r="63" spans="1:6" x14ac:dyDescent="0.2">
      <c r="A63" s="18" t="s">
        <v>172</v>
      </c>
      <c r="B63" s="18" t="s">
        <v>31</v>
      </c>
    </row>
    <row r="64" spans="1:6" x14ac:dyDescent="0.2">
      <c r="A64" s="18" t="s">
        <v>168</v>
      </c>
      <c r="B64" s="18" t="s">
        <v>43</v>
      </c>
    </row>
    <row r="65" spans="1:12" x14ac:dyDescent="0.2">
      <c r="A65" s="18" t="s">
        <v>169</v>
      </c>
      <c r="B65" s="18" t="s">
        <v>89</v>
      </c>
    </row>
    <row r="67" spans="1:12" x14ac:dyDescent="0.2">
      <c r="A67" s="110" t="s">
        <v>174</v>
      </c>
      <c r="B67" s="110" t="s">
        <v>175</v>
      </c>
      <c r="C67" s="110" t="s">
        <v>51</v>
      </c>
    </row>
    <row r="68" spans="1:12" x14ac:dyDescent="0.2">
      <c r="A68" s="110" t="s">
        <v>39</v>
      </c>
      <c r="B68" s="133">
        <v>14.3</v>
      </c>
      <c r="C68" s="112" t="s">
        <v>75</v>
      </c>
    </row>
    <row r="69" spans="1:12" x14ac:dyDescent="0.2">
      <c r="A69" s="110" t="s">
        <v>114</v>
      </c>
      <c r="B69" s="133">
        <v>19.3</v>
      </c>
      <c r="C69" s="112" t="s">
        <v>75</v>
      </c>
    </row>
    <row r="70" spans="1:12" x14ac:dyDescent="0.2">
      <c r="A70" s="110" t="s">
        <v>99</v>
      </c>
      <c r="B70" s="133">
        <v>19.7</v>
      </c>
      <c r="C70" s="112" t="s">
        <v>75</v>
      </c>
      <c r="G70" s="191" t="s">
        <v>500</v>
      </c>
      <c r="H70" s="192"/>
      <c r="I70" s="192"/>
      <c r="J70" s="192"/>
      <c r="K70" s="192"/>
      <c r="L70" s="192"/>
    </row>
    <row r="71" spans="1:12" x14ac:dyDescent="0.2">
      <c r="A71" s="110" t="s">
        <v>107</v>
      </c>
      <c r="B71" s="133">
        <v>20.100000000000001</v>
      </c>
      <c r="C71" s="112" t="s">
        <v>75</v>
      </c>
      <c r="G71" s="192"/>
      <c r="H71" s="192"/>
      <c r="I71" s="192"/>
      <c r="J71" s="192"/>
      <c r="K71" s="192"/>
      <c r="L71" s="192"/>
    </row>
    <row r="72" spans="1:12" x14ac:dyDescent="0.2">
      <c r="A72" s="110" t="s">
        <v>36</v>
      </c>
      <c r="B72" s="133">
        <v>20.3</v>
      </c>
      <c r="C72" s="112" t="s">
        <v>75</v>
      </c>
      <c r="G72" s="192"/>
      <c r="H72" s="192"/>
      <c r="I72" s="192"/>
      <c r="J72" s="192"/>
      <c r="K72" s="192"/>
      <c r="L72" s="192"/>
    </row>
    <row r="73" spans="1:12" x14ac:dyDescent="0.2">
      <c r="A73" s="110" t="s">
        <v>35</v>
      </c>
      <c r="B73" s="133">
        <v>22.6</v>
      </c>
      <c r="C73" s="112" t="s">
        <v>75</v>
      </c>
    </row>
    <row r="74" spans="1:12" x14ac:dyDescent="0.2">
      <c r="A74" s="110" t="s">
        <v>102</v>
      </c>
      <c r="B74" s="133">
        <v>23.3</v>
      </c>
      <c r="C74" s="112" t="s">
        <v>75</v>
      </c>
    </row>
    <row r="75" spans="1:12" x14ac:dyDescent="0.2">
      <c r="A75" s="110" t="s">
        <v>110</v>
      </c>
      <c r="B75" s="133">
        <v>23.6</v>
      </c>
      <c r="C75" s="112" t="s">
        <v>75</v>
      </c>
    </row>
    <row r="76" spans="1:12" x14ac:dyDescent="0.2">
      <c r="A76" s="110" t="s">
        <v>121</v>
      </c>
      <c r="B76" s="133">
        <v>24</v>
      </c>
      <c r="C76" s="112" t="s">
        <v>75</v>
      </c>
    </row>
    <row r="77" spans="1:12" x14ac:dyDescent="0.2">
      <c r="A77" s="110" t="s">
        <v>109</v>
      </c>
      <c r="B77" s="133">
        <v>25.6</v>
      </c>
      <c r="C77" s="112" t="s">
        <v>75</v>
      </c>
    </row>
    <row r="78" spans="1:12" x14ac:dyDescent="0.2">
      <c r="A78" s="110" t="s">
        <v>122</v>
      </c>
      <c r="B78" s="133">
        <v>25.6</v>
      </c>
      <c r="C78" s="112" t="s">
        <v>75</v>
      </c>
    </row>
    <row r="79" spans="1:12" x14ac:dyDescent="0.2">
      <c r="A79" s="110" t="s">
        <v>9</v>
      </c>
      <c r="B79" s="133">
        <v>27.2</v>
      </c>
      <c r="C79" s="112" t="s">
        <v>75</v>
      </c>
    </row>
    <row r="80" spans="1:12" x14ac:dyDescent="0.2">
      <c r="A80" s="110" t="s">
        <v>111</v>
      </c>
      <c r="B80" s="133">
        <v>27.3</v>
      </c>
      <c r="C80" s="112" t="s">
        <v>75</v>
      </c>
    </row>
    <row r="81" spans="1:13" x14ac:dyDescent="0.2">
      <c r="A81" s="110" t="s">
        <v>124</v>
      </c>
      <c r="B81" s="133">
        <v>28.4</v>
      </c>
      <c r="C81" s="112" t="s">
        <v>75</v>
      </c>
    </row>
    <row r="82" spans="1:13" x14ac:dyDescent="0.2">
      <c r="A82" s="110" t="s">
        <v>106</v>
      </c>
      <c r="B82" s="133">
        <v>30.7</v>
      </c>
      <c r="C82" s="112" t="s">
        <v>75</v>
      </c>
    </row>
    <row r="83" spans="1:13" x14ac:dyDescent="0.2">
      <c r="A83" s="110" t="s">
        <v>5</v>
      </c>
      <c r="B83" s="133">
        <v>31.6</v>
      </c>
      <c r="C83" s="112" t="s">
        <v>75</v>
      </c>
    </row>
    <row r="84" spans="1:13" x14ac:dyDescent="0.2">
      <c r="A84" s="110" t="s">
        <v>38</v>
      </c>
      <c r="B84" s="133">
        <v>31.6</v>
      </c>
      <c r="C84" s="112" t="s">
        <v>75</v>
      </c>
    </row>
    <row r="85" spans="1:13" x14ac:dyDescent="0.2">
      <c r="A85" s="110" t="s">
        <v>126</v>
      </c>
      <c r="B85" s="133">
        <v>32.1</v>
      </c>
      <c r="C85" s="112" t="s">
        <v>75</v>
      </c>
    </row>
    <row r="86" spans="1:13" x14ac:dyDescent="0.2">
      <c r="A86" s="110" t="s">
        <v>120</v>
      </c>
      <c r="B86" s="133">
        <v>32.299999999999997</v>
      </c>
      <c r="C86" s="112" t="s">
        <v>75</v>
      </c>
    </row>
    <row r="87" spans="1:13" x14ac:dyDescent="0.2">
      <c r="A87" s="110" t="s">
        <v>6</v>
      </c>
      <c r="B87" s="133">
        <v>32.4</v>
      </c>
      <c r="C87" s="112" t="s">
        <v>75</v>
      </c>
    </row>
    <row r="88" spans="1:13" x14ac:dyDescent="0.2">
      <c r="A88" s="110" t="s">
        <v>127</v>
      </c>
      <c r="B88" s="133">
        <v>32.9</v>
      </c>
      <c r="C88" s="112" t="s">
        <v>75</v>
      </c>
    </row>
    <row r="89" spans="1:13" x14ac:dyDescent="0.2">
      <c r="A89" s="110" t="s">
        <v>81</v>
      </c>
      <c r="B89" s="133">
        <v>33.1</v>
      </c>
      <c r="C89" s="112" t="s">
        <v>75</v>
      </c>
    </row>
    <row r="90" spans="1:13" x14ac:dyDescent="0.2">
      <c r="A90" s="110" t="s">
        <v>95</v>
      </c>
      <c r="B90" s="133">
        <v>34.5</v>
      </c>
      <c r="C90" s="112" t="s">
        <v>75</v>
      </c>
    </row>
    <row r="91" spans="1:13" x14ac:dyDescent="0.2">
      <c r="A91" s="110" t="s">
        <v>125</v>
      </c>
      <c r="B91" s="133">
        <v>34.700000000000003</v>
      </c>
      <c r="C91" s="112" t="s">
        <v>75</v>
      </c>
    </row>
    <row r="92" spans="1:13" x14ac:dyDescent="0.2">
      <c r="A92" s="110" t="s">
        <v>13</v>
      </c>
      <c r="B92" s="133">
        <v>35.5</v>
      </c>
      <c r="C92" s="112" t="s">
        <v>75</v>
      </c>
    </row>
    <row r="93" spans="1:13" x14ac:dyDescent="0.2">
      <c r="A93" s="110" t="s">
        <v>37</v>
      </c>
      <c r="B93" s="133">
        <v>35.700000000000003</v>
      </c>
      <c r="C93" s="112" t="s">
        <v>75</v>
      </c>
    </row>
    <row r="94" spans="1:13" x14ac:dyDescent="0.2">
      <c r="A94" s="110" t="s">
        <v>117</v>
      </c>
      <c r="B94" s="133">
        <v>36.1</v>
      </c>
      <c r="C94" s="112" t="s">
        <v>75</v>
      </c>
    </row>
    <row r="95" spans="1:13" x14ac:dyDescent="0.2">
      <c r="A95" s="110" t="s">
        <v>119</v>
      </c>
      <c r="B95" s="133">
        <v>37.799999999999997</v>
      </c>
      <c r="C95" s="112" t="s">
        <v>75</v>
      </c>
      <c r="G95" s="191" t="s">
        <v>493</v>
      </c>
      <c r="H95" s="191"/>
      <c r="I95" s="191"/>
      <c r="J95" s="191"/>
      <c r="K95" s="191"/>
      <c r="L95" s="191"/>
      <c r="M95" s="191"/>
    </row>
    <row r="96" spans="1:13" x14ac:dyDescent="0.2">
      <c r="A96" s="110" t="s">
        <v>115</v>
      </c>
      <c r="B96" s="133">
        <v>38.4</v>
      </c>
      <c r="C96" s="112" t="s">
        <v>75</v>
      </c>
      <c r="G96" s="191"/>
      <c r="H96" s="191"/>
      <c r="I96" s="191"/>
      <c r="J96" s="191"/>
      <c r="K96" s="191"/>
      <c r="L96" s="191"/>
      <c r="M96" s="191"/>
    </row>
    <row r="97" spans="1:6" x14ac:dyDescent="0.2">
      <c r="A97" s="110" t="s">
        <v>108</v>
      </c>
      <c r="B97" s="133">
        <v>41</v>
      </c>
      <c r="C97" s="112" t="s">
        <v>75</v>
      </c>
    </row>
    <row r="98" spans="1:6" x14ac:dyDescent="0.2">
      <c r="A98" s="110" t="s">
        <v>113</v>
      </c>
      <c r="B98" s="133">
        <v>42.5</v>
      </c>
      <c r="C98" s="112" t="s">
        <v>75</v>
      </c>
    </row>
    <row r="99" spans="1:6" x14ac:dyDescent="0.2">
      <c r="A99" s="110" t="s">
        <v>34</v>
      </c>
      <c r="B99" s="133">
        <v>44.1</v>
      </c>
      <c r="C99" s="112" t="s">
        <v>75</v>
      </c>
    </row>
    <row r="100" spans="1:6" x14ac:dyDescent="0.2">
      <c r="A100" s="110" t="s">
        <v>104</v>
      </c>
      <c r="B100" s="133">
        <v>46.2</v>
      </c>
      <c r="C100" s="112" t="s">
        <v>75</v>
      </c>
    </row>
    <row r="101" spans="1:6" x14ac:dyDescent="0.2">
      <c r="A101" s="110" t="s">
        <v>129</v>
      </c>
      <c r="B101" s="133">
        <v>48.1</v>
      </c>
      <c r="C101" s="112" t="s">
        <v>75</v>
      </c>
    </row>
    <row r="102" spans="1:6" x14ac:dyDescent="0.2">
      <c r="A102" s="110" t="s">
        <v>32</v>
      </c>
      <c r="B102" s="133">
        <v>50.7</v>
      </c>
      <c r="C102" s="112" t="s">
        <v>75</v>
      </c>
    </row>
    <row r="103" spans="1:6" x14ac:dyDescent="0.2">
      <c r="A103" s="110" t="s">
        <v>44</v>
      </c>
      <c r="B103" s="133">
        <v>52.2</v>
      </c>
      <c r="C103" s="112" t="s">
        <v>75</v>
      </c>
    </row>
    <row r="105" spans="1:6" x14ac:dyDescent="0.2">
      <c r="A105" s="18" t="s">
        <v>54</v>
      </c>
      <c r="E105" s="18" t="s">
        <v>55</v>
      </c>
    </row>
    <row r="106" spans="1:6" x14ac:dyDescent="0.2">
      <c r="A106" s="18" t="s">
        <v>56</v>
      </c>
      <c r="B106" s="18" t="s">
        <v>57</v>
      </c>
      <c r="E106" s="18" t="s">
        <v>58</v>
      </c>
      <c r="F106" s="18" t="s">
        <v>59</v>
      </c>
    </row>
    <row r="107" spans="1:6" x14ac:dyDescent="0.2">
      <c r="A107" s="18" t="s">
        <v>60</v>
      </c>
      <c r="B107" s="18" t="s">
        <v>61</v>
      </c>
    </row>
    <row r="108" spans="1:6" x14ac:dyDescent="0.2">
      <c r="A108" s="18" t="s">
        <v>62</v>
      </c>
      <c r="B108" s="18" t="s">
        <v>63</v>
      </c>
    </row>
    <row r="109" spans="1:6" x14ac:dyDescent="0.2">
      <c r="A109" s="18" t="s">
        <v>64</v>
      </c>
      <c r="B109" s="18" t="s">
        <v>65</v>
      </c>
    </row>
    <row r="110" spans="1:6" x14ac:dyDescent="0.2">
      <c r="A110" s="18" t="s">
        <v>66</v>
      </c>
      <c r="B110" s="18" t="s">
        <v>67</v>
      </c>
    </row>
    <row r="111" spans="1:6" x14ac:dyDescent="0.2">
      <c r="A111" s="18" t="s">
        <v>68</v>
      </c>
      <c r="B111" s="18" t="s">
        <v>50</v>
      </c>
    </row>
    <row r="112" spans="1:6" x14ac:dyDescent="0.2">
      <c r="A112" s="18" t="s">
        <v>141</v>
      </c>
      <c r="B112" s="18" t="s">
        <v>142</v>
      </c>
    </row>
    <row r="113" spans="1:2" x14ac:dyDescent="0.2">
      <c r="A113" s="18" t="s">
        <v>143</v>
      </c>
      <c r="B113" s="18" t="s">
        <v>144</v>
      </c>
    </row>
    <row r="114" spans="1:2" x14ac:dyDescent="0.2">
      <c r="A114" s="18" t="s">
        <v>145</v>
      </c>
      <c r="B114" s="18" t="s">
        <v>146</v>
      </c>
    </row>
    <row r="115" spans="1:2" x14ac:dyDescent="0.2">
      <c r="A115" s="18" t="s">
        <v>147</v>
      </c>
      <c r="B115" s="18" t="s">
        <v>148</v>
      </c>
    </row>
    <row r="116" spans="1:2" x14ac:dyDescent="0.2">
      <c r="A116" s="18" t="s">
        <v>53</v>
      </c>
      <c r="B116" s="18" t="s">
        <v>149</v>
      </c>
    </row>
    <row r="117" spans="1:2" x14ac:dyDescent="0.2">
      <c r="A117" s="18" t="s">
        <v>150</v>
      </c>
      <c r="B117" s="18" t="s">
        <v>71</v>
      </c>
    </row>
  </sheetData>
  <mergeCells count="4">
    <mergeCell ref="F45:L46"/>
    <mergeCell ref="F18:K20"/>
    <mergeCell ref="G70:L72"/>
    <mergeCell ref="G95:M96"/>
  </mergeCells>
  <phoneticPr fontId="7" type="noConversion"/>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I25" sqref="I25"/>
    </sheetView>
  </sheetViews>
  <sheetFormatPr baseColWidth="10" defaultColWidth="8.83203125" defaultRowHeight="15" x14ac:dyDescent="0.2"/>
  <cols>
    <col min="1" max="1" width="26.33203125" style="131" customWidth="1"/>
    <col min="2" max="16384" width="8.83203125" style="131"/>
  </cols>
  <sheetData>
    <row r="1" spans="1:6" x14ac:dyDescent="0.2">
      <c r="A1" s="152" t="s">
        <v>486</v>
      </c>
      <c r="B1" s="32"/>
      <c r="C1" s="32"/>
    </row>
    <row r="2" spans="1:6" x14ac:dyDescent="0.2">
      <c r="A2" s="152" t="s">
        <v>487</v>
      </c>
      <c r="B2" s="32"/>
      <c r="C2" s="32"/>
    </row>
    <row r="3" spans="1:6" x14ac:dyDescent="0.2">
      <c r="A3" s="152" t="s">
        <v>488</v>
      </c>
      <c r="B3" s="32"/>
      <c r="C3" s="32"/>
    </row>
    <row r="4" spans="1:6" x14ac:dyDescent="0.2">
      <c r="A4" s="152"/>
      <c r="B4" s="32"/>
      <c r="C4" s="32"/>
    </row>
    <row r="5" spans="1:6" x14ac:dyDescent="0.2">
      <c r="A5" s="152" t="s">
        <v>489</v>
      </c>
      <c r="B5" s="152" t="s">
        <v>490</v>
      </c>
      <c r="C5" s="152" t="s">
        <v>491</v>
      </c>
      <c r="F5" s="8" t="s">
        <v>456</v>
      </c>
    </row>
    <row r="6" spans="1:6" x14ac:dyDescent="0.2">
      <c r="A6" s="32" t="s">
        <v>457</v>
      </c>
      <c r="B6" s="153">
        <v>4</v>
      </c>
      <c r="C6" s="153">
        <v>2.8</v>
      </c>
    </row>
    <row r="7" spans="1:6" s="32" customFormat="1" x14ac:dyDescent="0.2">
      <c r="A7" s="32" t="s">
        <v>458</v>
      </c>
      <c r="B7" s="153">
        <v>2.5</v>
      </c>
      <c r="C7" s="153">
        <v>1.3</v>
      </c>
    </row>
    <row r="8" spans="1:6" s="32" customFormat="1" x14ac:dyDescent="0.2">
      <c r="A8" s="32" t="s">
        <v>459</v>
      </c>
      <c r="B8" s="153">
        <v>7.6</v>
      </c>
      <c r="C8" s="153">
        <v>2.9</v>
      </c>
    </row>
    <row r="9" spans="1:6" s="32" customFormat="1" x14ac:dyDescent="0.2">
      <c r="A9" s="32" t="s">
        <v>460</v>
      </c>
      <c r="B9" s="153">
        <v>4.3</v>
      </c>
      <c r="C9" s="153">
        <v>2</v>
      </c>
    </row>
    <row r="10" spans="1:6" s="32" customFormat="1" x14ac:dyDescent="0.2">
      <c r="A10" s="32" t="s">
        <v>461</v>
      </c>
      <c r="B10" s="153">
        <v>3.1</v>
      </c>
      <c r="C10" s="153">
        <v>1.2</v>
      </c>
    </row>
    <row r="11" spans="1:6" s="32" customFormat="1" x14ac:dyDescent="0.2">
      <c r="A11" s="32" t="s">
        <v>462</v>
      </c>
      <c r="B11" s="153">
        <v>2</v>
      </c>
      <c r="C11" s="153">
        <v>1</v>
      </c>
    </row>
    <row r="12" spans="1:6" s="32" customFormat="1" x14ac:dyDescent="0.2">
      <c r="A12" s="32" t="s">
        <v>476</v>
      </c>
      <c r="B12" s="153">
        <v>2.4</v>
      </c>
      <c r="C12" s="153">
        <v>2</v>
      </c>
    </row>
    <row r="13" spans="1:6" s="32" customFormat="1" x14ac:dyDescent="0.2">
      <c r="A13" s="32" t="s">
        <v>477</v>
      </c>
      <c r="B13" s="153">
        <v>0.4</v>
      </c>
      <c r="C13" s="153">
        <v>0.4</v>
      </c>
    </row>
    <row r="14" spans="1:6" s="32" customFormat="1" x14ac:dyDescent="0.2">
      <c r="A14" s="32" t="s">
        <v>478</v>
      </c>
      <c r="B14" s="153">
        <v>1.7</v>
      </c>
      <c r="C14" s="153">
        <v>1.4</v>
      </c>
    </row>
  </sheetData>
  <phoneticPr fontId="7"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A19" sqref="A19"/>
    </sheetView>
  </sheetViews>
  <sheetFormatPr baseColWidth="10" defaultColWidth="8.83203125" defaultRowHeight="15" x14ac:dyDescent="0.2"/>
  <cols>
    <col min="1" max="1" width="26.33203125" style="131" customWidth="1"/>
    <col min="2" max="16384" width="8.83203125" style="131"/>
  </cols>
  <sheetData>
    <row r="1" spans="1:5" x14ac:dyDescent="0.2">
      <c r="A1" s="152" t="s">
        <v>486</v>
      </c>
      <c r="B1" s="32"/>
      <c r="C1" s="32"/>
    </row>
    <row r="2" spans="1:5" x14ac:dyDescent="0.2">
      <c r="A2" s="152" t="s">
        <v>487</v>
      </c>
      <c r="B2" s="32"/>
      <c r="C2" s="32"/>
    </row>
    <row r="3" spans="1:5" x14ac:dyDescent="0.2">
      <c r="A3" s="152" t="s">
        <v>488</v>
      </c>
      <c r="B3" s="32"/>
      <c r="C3" s="32"/>
    </row>
    <row r="4" spans="1:5" x14ac:dyDescent="0.2">
      <c r="A4" s="152"/>
      <c r="B4" s="32"/>
      <c r="C4" s="32"/>
    </row>
    <row r="5" spans="1:5" x14ac:dyDescent="0.2">
      <c r="A5" s="152" t="s">
        <v>489</v>
      </c>
      <c r="B5" s="152" t="s">
        <v>491</v>
      </c>
      <c r="E5" s="8" t="s">
        <v>580</v>
      </c>
    </row>
    <row r="6" spans="1:5" x14ac:dyDescent="0.2">
      <c r="A6" s="32" t="s">
        <v>459</v>
      </c>
      <c r="B6" s="154">
        <v>2</v>
      </c>
    </row>
    <row r="7" spans="1:5" s="32" customFormat="1" x14ac:dyDescent="0.2">
      <c r="A7" s="32" t="s">
        <v>476</v>
      </c>
      <c r="B7" s="154">
        <v>3.8</v>
      </c>
    </row>
    <row r="8" spans="1:5" s="32" customFormat="1" x14ac:dyDescent="0.2">
      <c r="A8" s="32" t="s">
        <v>462</v>
      </c>
      <c r="B8" s="154">
        <v>4.2</v>
      </c>
    </row>
    <row r="9" spans="1:5" s="32" customFormat="1" x14ac:dyDescent="0.2">
      <c r="A9" s="32" t="s">
        <v>578</v>
      </c>
      <c r="B9" s="154">
        <v>5.7</v>
      </c>
    </row>
    <row r="10" spans="1:5" s="32" customFormat="1" x14ac:dyDescent="0.2">
      <c r="A10" s="32" t="s">
        <v>480</v>
      </c>
      <c r="B10" s="154">
        <v>10.1</v>
      </c>
    </row>
    <row r="11" spans="1:5" s="32" customFormat="1" x14ac:dyDescent="0.2">
      <c r="A11" s="32" t="s">
        <v>458</v>
      </c>
      <c r="B11" s="154">
        <v>12.9</v>
      </c>
    </row>
    <row r="12" spans="1:5" s="32" customFormat="1" x14ac:dyDescent="0.2">
      <c r="A12" s="32" t="s">
        <v>478</v>
      </c>
      <c r="B12" s="154">
        <v>14.6</v>
      </c>
    </row>
    <row r="13" spans="1:5" s="32" customFormat="1" x14ac:dyDescent="0.2">
      <c r="A13" s="32" t="s">
        <v>477</v>
      </c>
      <c r="B13" s="154">
        <v>15</v>
      </c>
    </row>
    <row r="14" spans="1:5" s="32" customFormat="1" x14ac:dyDescent="0.2">
      <c r="A14" s="32" t="s">
        <v>460</v>
      </c>
      <c r="B14" s="154">
        <v>22.7</v>
      </c>
    </row>
    <row r="15" spans="1:5" s="32" customFormat="1" x14ac:dyDescent="0.2">
      <c r="A15" s="32" t="s">
        <v>461</v>
      </c>
      <c r="B15" s="154">
        <v>24.1</v>
      </c>
    </row>
    <row r="16" spans="1:5" s="32" customFormat="1" x14ac:dyDescent="0.2">
      <c r="A16" s="32" t="s">
        <v>479</v>
      </c>
      <c r="B16" s="154">
        <v>26.3</v>
      </c>
    </row>
    <row r="17" spans="1:3" x14ac:dyDescent="0.2">
      <c r="A17" s="32"/>
      <c r="B17" s="32"/>
      <c r="C17" s="32"/>
    </row>
    <row r="18" spans="1:3" x14ac:dyDescent="0.2">
      <c r="A18" s="32"/>
      <c r="B18" s="32"/>
      <c r="C18" s="32"/>
    </row>
    <row r="19" spans="1:3" x14ac:dyDescent="0.2">
      <c r="A19" s="32" t="s">
        <v>579</v>
      </c>
      <c r="B19" s="32"/>
      <c r="C19" s="32"/>
    </row>
    <row r="20" spans="1:3" x14ac:dyDescent="0.2">
      <c r="A20" s="32"/>
      <c r="B20" s="32"/>
      <c r="C20" s="32"/>
    </row>
    <row r="21" spans="1:3" x14ac:dyDescent="0.2">
      <c r="A21" s="32"/>
      <c r="B21" s="32"/>
      <c r="C21" s="32"/>
    </row>
  </sheetData>
  <sortState ref="A6:B16">
    <sortCondition ref="B7:B16"/>
    <sortCondition ref="A7:A16"/>
  </sortState>
  <phoneticPr fontId="7"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Y77"/>
  <sheetViews>
    <sheetView topLeftCell="A31" zoomScale="70" zoomScaleNormal="70" zoomScalePageLayoutView="70" workbookViewId="0">
      <selection activeCell="V13" sqref="V13"/>
    </sheetView>
  </sheetViews>
  <sheetFormatPr baseColWidth="10" defaultColWidth="8.83203125" defaultRowHeight="15" x14ac:dyDescent="0.2"/>
  <cols>
    <col min="1" max="1" width="28" customWidth="1"/>
  </cols>
  <sheetData>
    <row r="3" spans="1:13" ht="14" customHeight="1" x14ac:dyDescent="0.2">
      <c r="B3" s="233" t="s">
        <v>78</v>
      </c>
      <c r="C3" s="234"/>
    </row>
    <row r="4" spans="1:13" x14ac:dyDescent="0.2">
      <c r="B4" s="235"/>
      <c r="C4" s="236"/>
      <c r="E4" s="212" t="s">
        <v>45</v>
      </c>
      <c r="F4" s="212"/>
      <c r="G4" s="212"/>
      <c r="H4" s="212"/>
      <c r="I4" s="212"/>
      <c r="J4" s="212"/>
      <c r="K4" s="212"/>
      <c r="L4" s="212"/>
      <c r="M4" s="212"/>
    </row>
    <row r="5" spans="1:13" x14ac:dyDescent="0.2">
      <c r="A5" s="8" t="s">
        <v>88</v>
      </c>
      <c r="B5" s="231" t="s">
        <v>79</v>
      </c>
      <c r="C5" s="232"/>
      <c r="E5" s="212"/>
      <c r="F5" s="212"/>
      <c r="G5" s="212"/>
      <c r="H5" s="212"/>
      <c r="I5" s="212"/>
      <c r="J5" s="212"/>
      <c r="K5" s="212"/>
      <c r="L5" s="212"/>
      <c r="M5" s="212"/>
    </row>
    <row r="6" spans="1:13" x14ac:dyDescent="0.2">
      <c r="A6" s="13" t="s">
        <v>97</v>
      </c>
      <c r="B6" s="14">
        <v>11.5</v>
      </c>
    </row>
    <row r="7" spans="1:13" x14ac:dyDescent="0.2">
      <c r="A7" s="13" t="s">
        <v>80</v>
      </c>
      <c r="B7" s="14">
        <v>4.5</v>
      </c>
    </row>
    <row r="8" spans="1:13" x14ac:dyDescent="0.2">
      <c r="A8" s="13" t="s">
        <v>98</v>
      </c>
      <c r="B8" s="14">
        <v>28.3</v>
      </c>
    </row>
    <row r="9" spans="1:13" x14ac:dyDescent="0.2">
      <c r="A9" s="13" t="s">
        <v>99</v>
      </c>
      <c r="B9" s="14">
        <v>8.9</v>
      </c>
    </row>
    <row r="10" spans="1:13" x14ac:dyDescent="0.2">
      <c r="A10" s="13" t="s">
        <v>100</v>
      </c>
      <c r="B10" s="14">
        <v>47</v>
      </c>
    </row>
    <row r="11" spans="1:13" x14ac:dyDescent="0.2">
      <c r="A11" s="13" t="s">
        <v>92</v>
      </c>
      <c r="B11" s="14">
        <v>20.7</v>
      </c>
    </row>
    <row r="12" spans="1:13" x14ac:dyDescent="0.2">
      <c r="A12" s="13" t="s">
        <v>102</v>
      </c>
      <c r="B12" s="14">
        <v>9</v>
      </c>
    </row>
    <row r="13" spans="1:13" x14ac:dyDescent="0.2">
      <c r="A13" s="13" t="s">
        <v>93</v>
      </c>
      <c r="B13" s="14">
        <v>13.6</v>
      </c>
    </row>
    <row r="14" spans="1:13" x14ac:dyDescent="0.2">
      <c r="A14" s="13" t="s">
        <v>104</v>
      </c>
      <c r="B14" s="14">
        <v>42</v>
      </c>
    </row>
    <row r="15" spans="1:13" x14ac:dyDescent="0.2">
      <c r="A15" s="13" t="s">
        <v>81</v>
      </c>
      <c r="B15" s="14">
        <v>11.9</v>
      </c>
    </row>
    <row r="16" spans="1:13" x14ac:dyDescent="0.2">
      <c r="A16" s="13" t="s">
        <v>106</v>
      </c>
      <c r="B16" s="14">
        <v>4.2</v>
      </c>
    </row>
    <row r="17" spans="1:2" x14ac:dyDescent="0.2">
      <c r="A17" s="13" t="s">
        <v>107</v>
      </c>
      <c r="B17" s="14">
        <v>10.7</v>
      </c>
    </row>
    <row r="18" spans="1:2" x14ac:dyDescent="0.2">
      <c r="A18" s="13" t="s">
        <v>108</v>
      </c>
      <c r="B18" s="14">
        <v>4.5999999999999996</v>
      </c>
    </row>
    <row r="19" spans="1:2" x14ac:dyDescent="0.2">
      <c r="A19" s="13" t="s">
        <v>109</v>
      </c>
      <c r="B19" s="14">
        <v>16.399999999999999</v>
      </c>
    </row>
    <row r="20" spans="1:2" x14ac:dyDescent="0.2">
      <c r="A20" s="13" t="s">
        <v>110</v>
      </c>
      <c r="B20" s="14">
        <v>7.6</v>
      </c>
    </row>
    <row r="21" spans="1:2" x14ac:dyDescent="0.2">
      <c r="A21" s="13" t="s">
        <v>111</v>
      </c>
      <c r="B21" s="14">
        <v>9.4</v>
      </c>
    </row>
    <row r="22" spans="1:2" x14ac:dyDescent="0.2">
      <c r="A22" s="13" t="s">
        <v>94</v>
      </c>
      <c r="B22" s="14">
        <v>39.5</v>
      </c>
    </row>
    <row r="23" spans="1:2" x14ac:dyDescent="0.2">
      <c r="A23" s="13" t="s">
        <v>82</v>
      </c>
      <c r="B23" s="14">
        <v>7.9</v>
      </c>
    </row>
    <row r="24" spans="1:2" x14ac:dyDescent="0.2">
      <c r="A24" s="13" t="s">
        <v>32</v>
      </c>
      <c r="B24" s="14">
        <v>10</v>
      </c>
    </row>
    <row r="25" spans="1:2" x14ac:dyDescent="0.2">
      <c r="A25" s="13" t="s">
        <v>113</v>
      </c>
      <c r="B25" s="14">
        <v>17.7</v>
      </c>
    </row>
    <row r="26" spans="1:2" x14ac:dyDescent="0.2">
      <c r="A26" s="13" t="s">
        <v>114</v>
      </c>
      <c r="B26" s="14">
        <v>10.8</v>
      </c>
    </row>
    <row r="27" spans="1:2" x14ac:dyDescent="0.2">
      <c r="A27" s="13" t="s">
        <v>115</v>
      </c>
      <c r="B27" s="14">
        <v>14</v>
      </c>
    </row>
    <row r="28" spans="1:2" x14ac:dyDescent="0.2">
      <c r="A28" s="13" t="s">
        <v>116</v>
      </c>
      <c r="B28" s="14">
        <v>13.1</v>
      </c>
    </row>
    <row r="29" spans="1:2" x14ac:dyDescent="0.2">
      <c r="A29" s="13" t="s">
        <v>117</v>
      </c>
      <c r="B29" s="14">
        <v>6.6</v>
      </c>
    </row>
    <row r="30" spans="1:2" x14ac:dyDescent="0.2">
      <c r="A30" s="13" t="s">
        <v>118</v>
      </c>
      <c r="B30" s="14">
        <v>31.2</v>
      </c>
    </row>
    <row r="31" spans="1:2" x14ac:dyDescent="0.2">
      <c r="A31" s="13" t="s">
        <v>119</v>
      </c>
      <c r="B31" s="14">
        <v>19.2</v>
      </c>
    </row>
    <row r="32" spans="1:2" x14ac:dyDescent="0.2">
      <c r="A32" s="13" t="s">
        <v>120</v>
      </c>
      <c r="B32" s="14">
        <v>15.2</v>
      </c>
    </row>
    <row r="33" spans="1:2" x14ac:dyDescent="0.2">
      <c r="A33" s="13" t="s">
        <v>121</v>
      </c>
      <c r="B33" s="14">
        <v>7.1</v>
      </c>
    </row>
    <row r="34" spans="1:2" x14ac:dyDescent="0.2">
      <c r="A34" s="13" t="s">
        <v>122</v>
      </c>
      <c r="B34" s="14">
        <v>16.600000000000001</v>
      </c>
    </row>
    <row r="35" spans="1:2" x14ac:dyDescent="0.2">
      <c r="A35" s="13" t="s">
        <v>123</v>
      </c>
      <c r="B35" s="14">
        <v>14</v>
      </c>
    </row>
    <row r="36" spans="1:2" x14ac:dyDescent="0.2">
      <c r="A36" s="13" t="s">
        <v>124</v>
      </c>
      <c r="B36" s="14">
        <v>4.8</v>
      </c>
    </row>
    <row r="37" spans="1:2" x14ac:dyDescent="0.2">
      <c r="A37" s="13" t="s">
        <v>125</v>
      </c>
      <c r="B37" s="14">
        <v>7</v>
      </c>
    </row>
    <row r="38" spans="1:2" x14ac:dyDescent="0.2">
      <c r="A38" s="13" t="s">
        <v>126</v>
      </c>
      <c r="B38" s="14">
        <v>13.8</v>
      </c>
    </row>
    <row r="39" spans="1:2" x14ac:dyDescent="0.2">
      <c r="A39" s="13" t="s">
        <v>127</v>
      </c>
      <c r="B39" s="14">
        <v>13.3</v>
      </c>
    </row>
    <row r="40" spans="1:2" x14ac:dyDescent="0.2">
      <c r="A40" s="16" t="s">
        <v>128</v>
      </c>
      <c r="B40" s="14">
        <v>25.9</v>
      </c>
    </row>
    <row r="41" spans="1:2" x14ac:dyDescent="0.2">
      <c r="A41" s="13" t="s">
        <v>129</v>
      </c>
      <c r="B41" s="14">
        <v>34.9</v>
      </c>
    </row>
    <row r="42" spans="1:2" x14ac:dyDescent="0.2">
      <c r="A42" s="13" t="s">
        <v>130</v>
      </c>
      <c r="B42" s="14">
        <v>25.9</v>
      </c>
    </row>
    <row r="43" spans="1:2" x14ac:dyDescent="0.2">
      <c r="A43" s="13" t="s">
        <v>33</v>
      </c>
      <c r="B43" s="14">
        <v>1.4</v>
      </c>
    </row>
    <row r="44" spans="1:2" x14ac:dyDescent="0.2">
      <c r="A44" s="13" t="s">
        <v>34</v>
      </c>
      <c r="B44" s="14">
        <v>19</v>
      </c>
    </row>
    <row r="45" spans="1:2" x14ac:dyDescent="0.2">
      <c r="A45" s="13" t="s">
        <v>35</v>
      </c>
      <c r="B45" s="14">
        <v>22.6</v>
      </c>
    </row>
    <row r="46" spans="1:2" x14ac:dyDescent="0.2">
      <c r="A46" s="13" t="s">
        <v>36</v>
      </c>
      <c r="B46" s="14">
        <v>5.2</v>
      </c>
    </row>
    <row r="47" spans="1:2" x14ac:dyDescent="0.2">
      <c r="A47" s="13" t="s">
        <v>37</v>
      </c>
      <c r="B47" s="14">
        <v>9.6</v>
      </c>
    </row>
    <row r="48" spans="1:2" x14ac:dyDescent="0.2">
      <c r="A48" s="13" t="s">
        <v>38</v>
      </c>
      <c r="B48" s="14">
        <v>5.6</v>
      </c>
    </row>
    <row r="49" spans="1:13" x14ac:dyDescent="0.2">
      <c r="A49" s="13" t="s">
        <v>39</v>
      </c>
      <c r="B49" s="14">
        <v>3.3</v>
      </c>
    </row>
    <row r="50" spans="1:13" x14ac:dyDescent="0.2">
      <c r="A50" s="13" t="s">
        <v>40</v>
      </c>
      <c r="B50" s="14">
        <v>47</v>
      </c>
    </row>
    <row r="51" spans="1:13" x14ac:dyDescent="0.2">
      <c r="A51" s="13" t="s">
        <v>77</v>
      </c>
      <c r="B51" s="14">
        <v>60</v>
      </c>
    </row>
    <row r="52" spans="1:13" x14ac:dyDescent="0.2">
      <c r="A52" s="13" t="s">
        <v>41</v>
      </c>
      <c r="B52" s="14">
        <v>31.5</v>
      </c>
    </row>
    <row r="53" spans="1:13" x14ac:dyDescent="0.2">
      <c r="A53" s="13" t="s">
        <v>83</v>
      </c>
      <c r="B53" s="14">
        <v>21</v>
      </c>
    </row>
    <row r="54" spans="1:13" x14ac:dyDescent="0.2">
      <c r="A54" s="13" t="s">
        <v>42</v>
      </c>
      <c r="B54" s="14">
        <v>27.9</v>
      </c>
    </row>
    <row r="55" spans="1:13" x14ac:dyDescent="0.2">
      <c r="A55" s="13" t="s">
        <v>95</v>
      </c>
      <c r="B55" s="14">
        <v>22</v>
      </c>
    </row>
    <row r="56" spans="1:13" x14ac:dyDescent="0.2">
      <c r="A56" s="13" t="s">
        <v>155</v>
      </c>
      <c r="B56" s="14">
        <v>25.5</v>
      </c>
    </row>
    <row r="57" spans="1:13" x14ac:dyDescent="0.2">
      <c r="E57" s="191" t="s">
        <v>70</v>
      </c>
      <c r="F57" s="192"/>
      <c r="G57" s="192"/>
      <c r="H57" s="192"/>
      <c r="I57" s="192"/>
      <c r="J57" s="192"/>
      <c r="K57" s="192"/>
      <c r="L57" s="192"/>
      <c r="M57" s="192"/>
    </row>
    <row r="58" spans="1:13" x14ac:dyDescent="0.2">
      <c r="E58" s="192"/>
      <c r="F58" s="192"/>
      <c r="G58" s="192"/>
      <c r="H58" s="192"/>
      <c r="I58" s="192"/>
      <c r="J58" s="192"/>
      <c r="K58" s="192"/>
      <c r="L58" s="192"/>
      <c r="M58" s="192"/>
    </row>
    <row r="59" spans="1:13" x14ac:dyDescent="0.2">
      <c r="E59" s="192"/>
      <c r="F59" s="192"/>
      <c r="G59" s="192"/>
      <c r="H59" s="192"/>
      <c r="I59" s="192"/>
      <c r="J59" s="192"/>
      <c r="K59" s="192"/>
      <c r="L59" s="192"/>
      <c r="M59" s="192"/>
    </row>
    <row r="60" spans="1:13" x14ac:dyDescent="0.2">
      <c r="E60" s="192"/>
      <c r="F60" s="192"/>
      <c r="G60" s="192"/>
      <c r="H60" s="192"/>
      <c r="I60" s="192"/>
      <c r="J60" s="192"/>
      <c r="K60" s="192"/>
      <c r="L60" s="192"/>
      <c r="M60" s="192"/>
    </row>
    <row r="61" spans="1:13" x14ac:dyDescent="0.2">
      <c r="E61" s="192"/>
      <c r="F61" s="192"/>
      <c r="G61" s="192"/>
      <c r="H61" s="192"/>
      <c r="I61" s="192"/>
      <c r="J61" s="192"/>
      <c r="K61" s="192"/>
      <c r="L61" s="192"/>
      <c r="M61" s="192"/>
    </row>
    <row r="62" spans="1:13" x14ac:dyDescent="0.2">
      <c r="E62" s="192"/>
      <c r="F62" s="192"/>
      <c r="G62" s="192"/>
      <c r="H62" s="192"/>
      <c r="I62" s="192"/>
      <c r="J62" s="192"/>
      <c r="K62" s="192"/>
      <c r="L62" s="192"/>
      <c r="M62" s="192"/>
    </row>
    <row r="63" spans="1:13" x14ac:dyDescent="0.2">
      <c r="E63" s="192"/>
      <c r="F63" s="192"/>
      <c r="G63" s="192"/>
      <c r="H63" s="192"/>
      <c r="I63" s="192"/>
      <c r="J63" s="192"/>
      <c r="K63" s="192"/>
      <c r="L63" s="192"/>
      <c r="M63" s="192"/>
    </row>
    <row r="64" spans="1:13" x14ac:dyDescent="0.2">
      <c r="E64" s="192"/>
      <c r="F64" s="192"/>
      <c r="G64" s="192"/>
      <c r="H64" s="192"/>
      <c r="I64" s="192"/>
      <c r="J64" s="192"/>
      <c r="K64" s="192"/>
      <c r="L64" s="192"/>
      <c r="M64" s="192"/>
    </row>
    <row r="65" spans="5:25" x14ac:dyDescent="0.2">
      <c r="E65" s="192"/>
      <c r="F65" s="192"/>
      <c r="G65" s="192"/>
      <c r="H65" s="192"/>
      <c r="I65" s="192"/>
      <c r="J65" s="192"/>
      <c r="K65" s="192"/>
      <c r="L65" s="192"/>
      <c r="M65" s="192"/>
    </row>
    <row r="66" spans="5:25" x14ac:dyDescent="0.2">
      <c r="E66" s="192"/>
      <c r="F66" s="192"/>
      <c r="G66" s="192"/>
      <c r="H66" s="192"/>
      <c r="I66" s="192"/>
      <c r="J66" s="192"/>
      <c r="K66" s="192"/>
      <c r="L66" s="192"/>
      <c r="M66" s="192"/>
    </row>
    <row r="69" spans="5:25" x14ac:dyDescent="0.2">
      <c r="R69" s="192"/>
      <c r="S69" s="192"/>
      <c r="T69" s="192"/>
      <c r="U69" s="192"/>
      <c r="V69" s="192"/>
      <c r="W69" s="192"/>
      <c r="X69" s="192"/>
      <c r="Y69" s="192"/>
    </row>
    <row r="70" spans="5:25" x14ac:dyDescent="0.2">
      <c r="R70" s="192"/>
      <c r="S70" s="192"/>
      <c r="T70" s="192"/>
      <c r="U70" s="192"/>
      <c r="V70" s="192"/>
      <c r="W70" s="192"/>
      <c r="X70" s="192"/>
      <c r="Y70" s="192"/>
    </row>
    <row r="71" spans="5:25" x14ac:dyDescent="0.2">
      <c r="R71" s="192"/>
      <c r="S71" s="192"/>
      <c r="T71" s="192"/>
      <c r="U71" s="192"/>
      <c r="V71" s="192"/>
      <c r="W71" s="192"/>
      <c r="X71" s="192"/>
      <c r="Y71" s="192"/>
    </row>
    <row r="72" spans="5:25" x14ac:dyDescent="0.2">
      <c r="R72" s="192"/>
      <c r="S72" s="192"/>
      <c r="T72" s="192"/>
      <c r="U72" s="192"/>
      <c r="V72" s="192"/>
      <c r="W72" s="192"/>
      <c r="X72" s="192"/>
      <c r="Y72" s="192"/>
    </row>
    <row r="73" spans="5:25" x14ac:dyDescent="0.2">
      <c r="R73" s="192"/>
      <c r="S73" s="192"/>
      <c r="T73" s="192"/>
      <c r="U73" s="192"/>
      <c r="V73" s="192"/>
      <c r="W73" s="192"/>
      <c r="X73" s="192"/>
      <c r="Y73" s="192"/>
    </row>
    <row r="74" spans="5:25" x14ac:dyDescent="0.2">
      <c r="R74" s="192"/>
      <c r="S74" s="192"/>
      <c r="T74" s="192"/>
      <c r="U74" s="192"/>
      <c r="V74" s="192"/>
      <c r="W74" s="192"/>
      <c r="X74" s="192"/>
      <c r="Y74" s="192"/>
    </row>
    <row r="75" spans="5:25" x14ac:dyDescent="0.2">
      <c r="R75" s="192"/>
      <c r="S75" s="192"/>
      <c r="T75" s="192"/>
      <c r="U75" s="192"/>
      <c r="V75" s="192"/>
      <c r="W75" s="192"/>
      <c r="X75" s="192"/>
      <c r="Y75" s="192"/>
    </row>
    <row r="76" spans="5:25" x14ac:dyDescent="0.2">
      <c r="R76" s="192"/>
      <c r="S76" s="192"/>
      <c r="T76" s="192"/>
      <c r="U76" s="192"/>
      <c r="V76" s="192"/>
      <c r="W76" s="192"/>
      <c r="X76" s="192"/>
      <c r="Y76" s="192"/>
    </row>
    <row r="77" spans="5:25" x14ac:dyDescent="0.2">
      <c r="R77" s="192"/>
      <c r="S77" s="192"/>
      <c r="T77" s="192"/>
      <c r="U77" s="192"/>
      <c r="V77" s="192"/>
      <c r="W77" s="192"/>
      <c r="X77" s="192"/>
      <c r="Y77" s="192"/>
    </row>
  </sheetData>
  <mergeCells count="5">
    <mergeCell ref="B5:C5"/>
    <mergeCell ref="R69:Y77"/>
    <mergeCell ref="E57:M66"/>
    <mergeCell ref="E4:M5"/>
    <mergeCell ref="B3:C4"/>
  </mergeCells>
  <phoneticPr fontId="7"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
  <sheetViews>
    <sheetView topLeftCell="A16" zoomScale="70" zoomScaleNormal="70" zoomScalePageLayoutView="70" workbookViewId="0">
      <selection activeCell="A52" sqref="A52"/>
    </sheetView>
  </sheetViews>
  <sheetFormatPr baseColWidth="10" defaultColWidth="11.5" defaultRowHeight="15" x14ac:dyDescent="0.2"/>
  <cols>
    <col min="1" max="1" width="11.5" style="157"/>
    <col min="2" max="2" width="15.83203125" style="157" customWidth="1"/>
    <col min="3" max="3" width="24.33203125" style="157" customWidth="1"/>
    <col min="4" max="16384" width="11.5" style="157"/>
  </cols>
  <sheetData>
    <row r="1" spans="1:3" ht="24" x14ac:dyDescent="0.3">
      <c r="A1" s="172" t="s">
        <v>214</v>
      </c>
    </row>
    <row r="2" spans="1:3" x14ac:dyDescent="0.2">
      <c r="A2" s="173" t="s">
        <v>581</v>
      </c>
    </row>
    <row r="3" spans="1:3" ht="45" x14ac:dyDescent="0.2">
      <c r="A3" s="165" t="s">
        <v>88</v>
      </c>
      <c r="B3" s="160" t="s">
        <v>582</v>
      </c>
      <c r="C3" s="166" t="s">
        <v>583</v>
      </c>
    </row>
    <row r="4" spans="1:3" x14ac:dyDescent="0.2">
      <c r="A4" s="161" t="s">
        <v>41</v>
      </c>
      <c r="B4" s="176">
        <v>6.3804453710000004</v>
      </c>
      <c r="C4" s="157">
        <v>30.922999999999998</v>
      </c>
    </row>
    <row r="5" spans="1:3" x14ac:dyDescent="0.2">
      <c r="A5" s="161" t="s">
        <v>93</v>
      </c>
      <c r="B5" s="176">
        <v>7.2403374610000002</v>
      </c>
      <c r="C5" s="157">
        <v>15.108000000000001</v>
      </c>
    </row>
    <row r="6" spans="1:3" x14ac:dyDescent="0.2">
      <c r="A6" s="161" t="s">
        <v>512</v>
      </c>
      <c r="B6" s="176">
        <v>7.8763276619999996</v>
      </c>
      <c r="C6" s="157">
        <v>18.256</v>
      </c>
    </row>
    <row r="7" spans="1:3" x14ac:dyDescent="0.2">
      <c r="A7" s="161" t="s">
        <v>127</v>
      </c>
      <c r="B7" s="176">
        <v>7.9997791820000002</v>
      </c>
      <c r="C7" s="157">
        <v>12.573</v>
      </c>
    </row>
    <row r="8" spans="1:3" x14ac:dyDescent="0.2">
      <c r="A8" s="161" t="s">
        <v>99</v>
      </c>
      <c r="B8" s="176">
        <v>8.8800000000000008</v>
      </c>
      <c r="C8" s="157">
        <v>4.1260000000000003</v>
      </c>
    </row>
    <row r="9" spans="1:3" x14ac:dyDescent="0.2">
      <c r="A9" s="161" t="s">
        <v>97</v>
      </c>
      <c r="B9" s="176">
        <v>9.050693163</v>
      </c>
      <c r="C9" s="157">
        <v>15.297000000000001</v>
      </c>
    </row>
    <row r="10" spans="1:3" x14ac:dyDescent="0.2">
      <c r="A10" s="161" t="s">
        <v>34</v>
      </c>
      <c r="B10" s="176">
        <v>9.1999999999999993</v>
      </c>
      <c r="C10" s="157">
        <v>16.872</v>
      </c>
    </row>
    <row r="11" spans="1:3" x14ac:dyDescent="0.2">
      <c r="A11" s="161" t="s">
        <v>22</v>
      </c>
      <c r="B11" s="176">
        <v>9.27</v>
      </c>
      <c r="C11" s="157">
        <v>29.263999999999999</v>
      </c>
    </row>
    <row r="12" spans="1:3" x14ac:dyDescent="0.2">
      <c r="A12" s="161" t="s">
        <v>37</v>
      </c>
      <c r="B12" s="176">
        <v>9.4708145810000008</v>
      </c>
      <c r="C12" s="157">
        <v>10.624000000000001</v>
      </c>
    </row>
    <row r="13" spans="1:3" x14ac:dyDescent="0.2">
      <c r="A13" s="161" t="s">
        <v>122</v>
      </c>
      <c r="B13" s="176">
        <v>9.5021729690000001</v>
      </c>
      <c r="C13" s="157">
        <v>18.193000000000001</v>
      </c>
    </row>
    <row r="14" spans="1:3" x14ac:dyDescent="0.2">
      <c r="A14" s="161" t="s">
        <v>128</v>
      </c>
      <c r="B14" s="176">
        <v>9.59</v>
      </c>
      <c r="C14" s="157">
        <v>29.268000000000001</v>
      </c>
    </row>
    <row r="15" spans="1:3" x14ac:dyDescent="0.2">
      <c r="A15" s="161" t="s">
        <v>117</v>
      </c>
      <c r="B15" s="176">
        <v>9.6673528770000008</v>
      </c>
      <c r="C15" s="157">
        <v>3.9569999999999999</v>
      </c>
    </row>
    <row r="16" spans="1:3" x14ac:dyDescent="0.2">
      <c r="A16" s="161" t="s">
        <v>32</v>
      </c>
      <c r="B16" s="176">
        <v>9.9177599409999999</v>
      </c>
      <c r="C16" s="157">
        <v>11.859</v>
      </c>
    </row>
    <row r="17" spans="1:3" x14ac:dyDescent="0.2">
      <c r="A17" s="161" t="s">
        <v>123</v>
      </c>
      <c r="B17" s="176">
        <v>9.9456692980000003</v>
      </c>
      <c r="C17" s="157">
        <v>15.2</v>
      </c>
    </row>
    <row r="18" spans="1:3" x14ac:dyDescent="0.2">
      <c r="A18" s="161" t="s">
        <v>40</v>
      </c>
      <c r="B18" s="176">
        <v>9.98</v>
      </c>
      <c r="C18" s="157">
        <v>42.811999999999998</v>
      </c>
    </row>
    <row r="19" spans="1:3" x14ac:dyDescent="0.2">
      <c r="A19" s="161" t="s">
        <v>118</v>
      </c>
      <c r="B19" s="176">
        <v>10.24</v>
      </c>
      <c r="C19" s="157">
        <v>29.946000000000002</v>
      </c>
    </row>
    <row r="20" spans="1:3" x14ac:dyDescent="0.2">
      <c r="A20" s="161" t="s">
        <v>110</v>
      </c>
      <c r="B20" s="176">
        <v>10.33</v>
      </c>
      <c r="C20" s="157">
        <v>9.2110000000000003</v>
      </c>
    </row>
    <row r="21" spans="1:3" x14ac:dyDescent="0.2">
      <c r="A21" s="161" t="s">
        <v>129</v>
      </c>
      <c r="B21" s="176">
        <v>10.409914629999999</v>
      </c>
      <c r="C21" s="157">
        <v>30.954999999999998</v>
      </c>
    </row>
    <row r="22" spans="1:3" x14ac:dyDescent="0.2">
      <c r="A22" s="161" t="s">
        <v>102</v>
      </c>
      <c r="B22" s="176">
        <v>10.47</v>
      </c>
      <c r="C22" s="157">
        <v>6.7089999999999996</v>
      </c>
    </row>
    <row r="23" spans="1:3" x14ac:dyDescent="0.2">
      <c r="A23" s="161" t="s">
        <v>100</v>
      </c>
      <c r="B23" s="176">
        <v>10.497194289999999</v>
      </c>
      <c r="C23" s="157">
        <v>40</v>
      </c>
    </row>
    <row r="24" spans="1:3" x14ac:dyDescent="0.2">
      <c r="A24" s="161" t="s">
        <v>81</v>
      </c>
      <c r="B24" s="176">
        <v>10.49928369</v>
      </c>
      <c r="C24" s="157">
        <v>12.736000000000001</v>
      </c>
    </row>
    <row r="25" spans="1:3" x14ac:dyDescent="0.2">
      <c r="A25" s="161" t="s">
        <v>104</v>
      </c>
      <c r="B25" s="176">
        <v>10.58680813</v>
      </c>
      <c r="C25" s="157">
        <v>35.856999999999999</v>
      </c>
    </row>
    <row r="26" spans="1:3" x14ac:dyDescent="0.2">
      <c r="A26" s="161" t="s">
        <v>106</v>
      </c>
      <c r="B26" s="176">
        <v>10.74932793</v>
      </c>
      <c r="C26" s="157">
        <v>5.4729999999999999</v>
      </c>
    </row>
    <row r="27" spans="1:3" x14ac:dyDescent="0.2">
      <c r="A27" s="161" t="s">
        <v>114</v>
      </c>
      <c r="B27" s="176">
        <v>10.76</v>
      </c>
      <c r="C27" s="157">
        <v>11.488</v>
      </c>
    </row>
    <row r="28" spans="1:3" x14ac:dyDescent="0.2">
      <c r="A28" s="161" t="s">
        <v>98</v>
      </c>
      <c r="B28" s="176">
        <v>10.8</v>
      </c>
      <c r="C28" s="157">
        <v>27.117999999999999</v>
      </c>
    </row>
    <row r="29" spans="1:3" x14ac:dyDescent="0.2">
      <c r="A29" s="161" t="s">
        <v>111</v>
      </c>
      <c r="B29" s="176">
        <v>10.89831762</v>
      </c>
      <c r="C29" s="157">
        <v>5.7359999999999998</v>
      </c>
    </row>
    <row r="30" spans="1:3" x14ac:dyDescent="0.2">
      <c r="A30" s="161" t="s">
        <v>121</v>
      </c>
      <c r="B30" s="176">
        <v>10.92225771</v>
      </c>
      <c r="C30" s="157">
        <v>8.3490000000000002</v>
      </c>
    </row>
    <row r="31" spans="1:3" x14ac:dyDescent="0.2">
      <c r="A31" s="161" t="s">
        <v>113</v>
      </c>
      <c r="B31" s="176">
        <v>11.20684022</v>
      </c>
      <c r="C31" s="157">
        <v>12.127000000000001</v>
      </c>
    </row>
    <row r="32" spans="1:3" x14ac:dyDescent="0.2">
      <c r="A32" s="161" t="s">
        <v>42</v>
      </c>
      <c r="B32" s="176">
        <v>11.22</v>
      </c>
      <c r="C32" s="157">
        <v>25.670999999999999</v>
      </c>
    </row>
    <row r="33" spans="1:3" x14ac:dyDescent="0.2">
      <c r="A33" s="161" t="s">
        <v>92</v>
      </c>
      <c r="B33" s="176">
        <v>11.406166410000001</v>
      </c>
      <c r="C33" s="157">
        <v>20.599</v>
      </c>
    </row>
    <row r="34" spans="1:3" x14ac:dyDescent="0.2">
      <c r="A34" s="161" t="s">
        <v>39</v>
      </c>
      <c r="B34" s="176">
        <v>11.45278341</v>
      </c>
      <c r="C34" s="157">
        <v>1.9</v>
      </c>
    </row>
    <row r="35" spans="1:3" x14ac:dyDescent="0.2">
      <c r="A35" s="161" t="s">
        <v>119</v>
      </c>
      <c r="B35" s="176">
        <v>11.46793119</v>
      </c>
      <c r="C35" s="157">
        <v>13.522</v>
      </c>
    </row>
    <row r="36" spans="1:3" x14ac:dyDescent="0.2">
      <c r="A36" s="161" t="s">
        <v>35</v>
      </c>
      <c r="B36" s="176">
        <v>11.59</v>
      </c>
      <c r="C36" s="157">
        <v>15.872</v>
      </c>
    </row>
    <row r="37" spans="1:3" x14ac:dyDescent="0.2">
      <c r="A37" s="161" t="s">
        <v>124</v>
      </c>
      <c r="B37" s="176">
        <v>11.612559320000001</v>
      </c>
      <c r="C37" s="157">
        <v>6.165</v>
      </c>
    </row>
    <row r="38" spans="1:3" x14ac:dyDescent="0.2">
      <c r="A38" s="161" t="s">
        <v>130</v>
      </c>
      <c r="B38" s="176">
        <v>11.68</v>
      </c>
      <c r="C38" s="157">
        <v>25.727</v>
      </c>
    </row>
    <row r="39" spans="1:3" x14ac:dyDescent="0.2">
      <c r="A39" s="161" t="s">
        <v>115</v>
      </c>
      <c r="B39" s="176">
        <v>11.7</v>
      </c>
      <c r="C39" s="157">
        <v>8.2360000000000007</v>
      </c>
    </row>
    <row r="40" spans="1:3" x14ac:dyDescent="0.2">
      <c r="A40" s="161" t="s">
        <v>38</v>
      </c>
      <c r="B40" s="176">
        <v>11.79</v>
      </c>
      <c r="C40" s="157">
        <v>6.5279999999999996</v>
      </c>
    </row>
    <row r="41" spans="1:3" x14ac:dyDescent="0.2">
      <c r="A41" s="161" t="s">
        <v>36</v>
      </c>
      <c r="B41" s="176">
        <v>11.831512740000001</v>
      </c>
      <c r="C41" s="157">
        <v>0.61699999999999999</v>
      </c>
    </row>
    <row r="42" spans="1:3" x14ac:dyDescent="0.2">
      <c r="A42" s="161" t="s">
        <v>108</v>
      </c>
      <c r="B42" s="176">
        <v>11.87756564</v>
      </c>
      <c r="C42" s="157">
        <v>5.101</v>
      </c>
    </row>
    <row r="43" spans="1:3" x14ac:dyDescent="0.2">
      <c r="A43" s="161" t="s">
        <v>126</v>
      </c>
      <c r="B43" s="176">
        <v>11.943168780000001</v>
      </c>
      <c r="C43" s="157">
        <v>12.156000000000001</v>
      </c>
    </row>
    <row r="44" spans="1:3" x14ac:dyDescent="0.2">
      <c r="A44" s="161" t="s">
        <v>107</v>
      </c>
      <c r="B44" s="176">
        <v>12.14</v>
      </c>
      <c r="C44" s="157">
        <v>4.9059999999999997</v>
      </c>
    </row>
    <row r="45" spans="1:3" x14ac:dyDescent="0.2">
      <c r="A45" s="161" t="s">
        <v>109</v>
      </c>
      <c r="B45" s="176">
        <v>12.28</v>
      </c>
      <c r="C45" s="157">
        <v>16.779</v>
      </c>
    </row>
    <row r="46" spans="1:3" x14ac:dyDescent="0.2">
      <c r="A46" s="161" t="s">
        <v>120</v>
      </c>
      <c r="B46" s="176">
        <v>12.349048059999999</v>
      </c>
      <c r="C46" s="157">
        <v>10.612</v>
      </c>
    </row>
    <row r="47" spans="1:3" x14ac:dyDescent="0.2">
      <c r="A47" s="161" t="s">
        <v>82</v>
      </c>
      <c r="B47" s="176">
        <v>12.587279730000001</v>
      </c>
      <c r="C47" s="157">
        <v>3.7949999999999999</v>
      </c>
    </row>
    <row r="48" spans="1:3" x14ac:dyDescent="0.2">
      <c r="A48" s="161" t="s">
        <v>116</v>
      </c>
      <c r="B48" s="176">
        <v>12.6288942</v>
      </c>
      <c r="C48" s="157">
        <v>7.819</v>
      </c>
    </row>
    <row r="49" spans="1:3" x14ac:dyDescent="0.2">
      <c r="A49" s="161" t="s">
        <v>125</v>
      </c>
      <c r="B49" s="176">
        <v>12.68</v>
      </c>
      <c r="C49" s="157">
        <v>7.8339999999999996</v>
      </c>
    </row>
    <row r="50" spans="1:3" x14ac:dyDescent="0.2">
      <c r="A50" s="161" t="s">
        <v>95</v>
      </c>
      <c r="B50" s="176">
        <v>12.82006784</v>
      </c>
      <c r="C50" s="157">
        <v>25.757999999999999</v>
      </c>
    </row>
    <row r="52" spans="1:3" x14ac:dyDescent="0.2">
      <c r="A52" s="161" t="s">
        <v>535</v>
      </c>
    </row>
    <row r="53" spans="1:3" x14ac:dyDescent="0.2">
      <c r="A53" s="33" t="s">
        <v>556</v>
      </c>
    </row>
    <row r="54" spans="1:3" x14ac:dyDescent="0.2">
      <c r="A54" s="164" t="s">
        <v>208</v>
      </c>
    </row>
  </sheetData>
  <phoneticPr fontId="7" type="noConversion"/>
  <hyperlinks>
    <hyperlink ref="A54" r:id="rId1"/>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workbookViewId="0">
      <selection activeCell="A50" sqref="A50"/>
    </sheetView>
  </sheetViews>
  <sheetFormatPr baseColWidth="10" defaultColWidth="11.5" defaultRowHeight="15" x14ac:dyDescent="0.2"/>
  <cols>
    <col min="1" max="1" width="11.5" style="134"/>
    <col min="2" max="2" width="15.83203125" style="134" customWidth="1"/>
    <col min="3" max="3" width="24.33203125" style="134" customWidth="1"/>
    <col min="4" max="16384" width="11.5" style="134"/>
  </cols>
  <sheetData>
    <row r="1" spans="1:13" ht="45" x14ac:dyDescent="0.2">
      <c r="A1" s="165" t="s">
        <v>88</v>
      </c>
      <c r="B1" s="160" t="s">
        <v>582</v>
      </c>
      <c r="C1" s="166" t="s">
        <v>583</v>
      </c>
    </row>
    <row r="2" spans="1:13" x14ac:dyDescent="0.2">
      <c r="A2" s="161" t="s">
        <v>41</v>
      </c>
      <c r="B2" s="167">
        <v>6.3804453710000004</v>
      </c>
      <c r="C2" s="134">
        <v>30.922999999999998</v>
      </c>
    </row>
    <row r="3" spans="1:13" x14ac:dyDescent="0.2">
      <c r="A3" s="161" t="s">
        <v>93</v>
      </c>
      <c r="B3" s="167">
        <v>7.2403374610000002</v>
      </c>
      <c r="C3" s="134">
        <v>15.108000000000001</v>
      </c>
      <c r="F3" s="237" t="s">
        <v>581</v>
      </c>
      <c r="G3" s="237"/>
      <c r="H3" s="237"/>
      <c r="I3" s="237"/>
      <c r="J3" s="237"/>
      <c r="K3" s="237"/>
      <c r="L3" s="237"/>
      <c r="M3" s="237"/>
    </row>
    <row r="4" spans="1:13" x14ac:dyDescent="0.2">
      <c r="A4" s="161" t="s">
        <v>512</v>
      </c>
      <c r="B4" s="167">
        <v>7.8763276619999996</v>
      </c>
      <c r="C4" s="134">
        <v>18.256</v>
      </c>
      <c r="F4" s="237"/>
      <c r="G4" s="237"/>
      <c r="H4" s="237"/>
      <c r="I4" s="237"/>
      <c r="J4" s="237"/>
      <c r="K4" s="237"/>
      <c r="L4" s="237"/>
      <c r="M4" s="237"/>
    </row>
    <row r="5" spans="1:13" x14ac:dyDescent="0.2">
      <c r="A5" s="161" t="s">
        <v>127</v>
      </c>
      <c r="B5" s="167">
        <v>7.9997791820000002</v>
      </c>
      <c r="C5" s="134">
        <v>12.573</v>
      </c>
    </row>
    <row r="6" spans="1:13" x14ac:dyDescent="0.2">
      <c r="A6" s="161" t="s">
        <v>99</v>
      </c>
      <c r="B6" s="167">
        <v>8.8800000000000008</v>
      </c>
      <c r="C6" s="134">
        <v>4.1260000000000003</v>
      </c>
    </row>
    <row r="7" spans="1:13" x14ac:dyDescent="0.2">
      <c r="A7" s="161" t="s">
        <v>97</v>
      </c>
      <c r="B7" s="167">
        <v>9.050693163</v>
      </c>
      <c r="C7" s="134">
        <v>15.297000000000001</v>
      </c>
    </row>
    <row r="8" spans="1:13" x14ac:dyDescent="0.2">
      <c r="A8" s="161" t="s">
        <v>34</v>
      </c>
      <c r="B8" s="167">
        <v>9.1999999999999993</v>
      </c>
      <c r="C8" s="134">
        <v>16.872</v>
      </c>
    </row>
    <row r="9" spans="1:13" x14ac:dyDescent="0.2">
      <c r="A9" s="161" t="s">
        <v>22</v>
      </c>
      <c r="B9" s="167">
        <v>9.27</v>
      </c>
      <c r="C9" s="134">
        <v>29.263999999999999</v>
      </c>
    </row>
    <row r="10" spans="1:13" x14ac:dyDescent="0.2">
      <c r="A10" s="161" t="s">
        <v>37</v>
      </c>
      <c r="B10" s="167">
        <v>9.4708145810000008</v>
      </c>
      <c r="C10" s="134">
        <v>10.624000000000001</v>
      </c>
    </row>
    <row r="11" spans="1:13" x14ac:dyDescent="0.2">
      <c r="A11" s="161" t="s">
        <v>122</v>
      </c>
      <c r="B11" s="167">
        <v>9.5021729690000001</v>
      </c>
      <c r="C11" s="134">
        <v>18.193000000000001</v>
      </c>
    </row>
    <row r="12" spans="1:13" x14ac:dyDescent="0.2">
      <c r="A12" s="161" t="s">
        <v>540</v>
      </c>
      <c r="B12" s="167">
        <v>9.59</v>
      </c>
      <c r="C12" s="134">
        <v>29.268000000000001</v>
      </c>
    </row>
    <row r="13" spans="1:13" x14ac:dyDescent="0.2">
      <c r="A13" s="161" t="s">
        <v>117</v>
      </c>
      <c r="B13" s="167">
        <v>9.6673528770000008</v>
      </c>
      <c r="C13" s="134">
        <v>3.9569999999999999</v>
      </c>
    </row>
    <row r="14" spans="1:13" x14ac:dyDescent="0.2">
      <c r="A14" s="161" t="s">
        <v>32</v>
      </c>
      <c r="B14" s="167">
        <v>9.9177599409999999</v>
      </c>
      <c r="C14" s="134">
        <v>11.859</v>
      </c>
    </row>
    <row r="15" spans="1:13" x14ac:dyDescent="0.2">
      <c r="A15" s="161" t="s">
        <v>123</v>
      </c>
      <c r="B15" s="167">
        <v>9.9456692980000003</v>
      </c>
      <c r="C15" s="134">
        <v>15.2</v>
      </c>
    </row>
    <row r="16" spans="1:13" x14ac:dyDescent="0.2">
      <c r="A16" s="161" t="s">
        <v>40</v>
      </c>
      <c r="B16" s="167">
        <v>9.98</v>
      </c>
      <c r="C16" s="134">
        <v>42.811999999999998</v>
      </c>
    </row>
    <row r="17" spans="1:3" x14ac:dyDescent="0.2">
      <c r="A17" s="161" t="s">
        <v>118</v>
      </c>
      <c r="B17" s="167">
        <v>10.24</v>
      </c>
      <c r="C17" s="134">
        <v>29.946000000000002</v>
      </c>
    </row>
    <row r="18" spans="1:3" x14ac:dyDescent="0.2">
      <c r="A18" s="161" t="s">
        <v>110</v>
      </c>
      <c r="B18" s="167">
        <v>10.33</v>
      </c>
      <c r="C18" s="134">
        <v>9.2110000000000003</v>
      </c>
    </row>
    <row r="19" spans="1:3" x14ac:dyDescent="0.2">
      <c r="A19" s="161" t="s">
        <v>129</v>
      </c>
      <c r="B19" s="167">
        <v>10.409914629999999</v>
      </c>
      <c r="C19" s="134">
        <v>30.954999999999998</v>
      </c>
    </row>
    <row r="20" spans="1:3" x14ac:dyDescent="0.2">
      <c r="A20" s="161" t="s">
        <v>102</v>
      </c>
      <c r="B20" s="167">
        <v>10.47</v>
      </c>
      <c r="C20" s="134">
        <v>6.7089999999999996</v>
      </c>
    </row>
    <row r="21" spans="1:3" x14ac:dyDescent="0.2">
      <c r="A21" s="161" t="s">
        <v>100</v>
      </c>
      <c r="B21" s="167">
        <v>10.497194289999999</v>
      </c>
      <c r="C21" s="134">
        <v>40</v>
      </c>
    </row>
    <row r="22" spans="1:3" x14ac:dyDescent="0.2">
      <c r="A22" s="161" t="s">
        <v>81</v>
      </c>
      <c r="B22" s="167">
        <v>10.49928369</v>
      </c>
      <c r="C22" s="134">
        <v>12.736000000000001</v>
      </c>
    </row>
    <row r="23" spans="1:3" x14ac:dyDescent="0.2">
      <c r="A23" s="161" t="s">
        <v>104</v>
      </c>
      <c r="B23" s="167">
        <v>10.58680813</v>
      </c>
      <c r="C23" s="134">
        <v>35.856999999999999</v>
      </c>
    </row>
    <row r="24" spans="1:3" x14ac:dyDescent="0.2">
      <c r="A24" s="161" t="s">
        <v>106</v>
      </c>
      <c r="B24" s="167">
        <v>10.74932793</v>
      </c>
      <c r="C24" s="134">
        <v>5.4729999999999999</v>
      </c>
    </row>
    <row r="25" spans="1:3" x14ac:dyDescent="0.2">
      <c r="A25" s="161" t="s">
        <v>114</v>
      </c>
      <c r="B25" s="167">
        <v>10.76</v>
      </c>
      <c r="C25" s="134">
        <v>11.488</v>
      </c>
    </row>
    <row r="26" spans="1:3" x14ac:dyDescent="0.2">
      <c r="A26" s="161" t="s">
        <v>98</v>
      </c>
      <c r="B26" s="167">
        <v>10.8</v>
      </c>
      <c r="C26" s="134">
        <v>27.117999999999999</v>
      </c>
    </row>
    <row r="27" spans="1:3" x14ac:dyDescent="0.2">
      <c r="A27" s="161" t="s">
        <v>111</v>
      </c>
      <c r="B27" s="167">
        <v>10.89831762</v>
      </c>
      <c r="C27" s="134">
        <v>5.7359999999999998</v>
      </c>
    </row>
    <row r="28" spans="1:3" x14ac:dyDescent="0.2">
      <c r="A28" s="161" t="s">
        <v>121</v>
      </c>
      <c r="B28" s="167">
        <v>10.92225771</v>
      </c>
      <c r="C28" s="134">
        <v>8.3490000000000002</v>
      </c>
    </row>
    <row r="29" spans="1:3" x14ac:dyDescent="0.2">
      <c r="A29" s="161" t="s">
        <v>113</v>
      </c>
      <c r="B29" s="167">
        <v>11.20684022</v>
      </c>
      <c r="C29" s="134">
        <v>12.127000000000001</v>
      </c>
    </row>
    <row r="30" spans="1:3" x14ac:dyDescent="0.2">
      <c r="A30" s="161" t="s">
        <v>42</v>
      </c>
      <c r="B30" s="167">
        <v>11.22</v>
      </c>
      <c r="C30" s="134">
        <v>25.670999999999999</v>
      </c>
    </row>
    <row r="31" spans="1:3" x14ac:dyDescent="0.2">
      <c r="A31" s="161" t="s">
        <v>92</v>
      </c>
      <c r="B31" s="167">
        <v>11.406166410000001</v>
      </c>
      <c r="C31" s="134">
        <v>20.599</v>
      </c>
    </row>
    <row r="32" spans="1:3" x14ac:dyDescent="0.2">
      <c r="A32" s="161" t="s">
        <v>39</v>
      </c>
      <c r="B32" s="167">
        <v>11.45278341</v>
      </c>
      <c r="C32" s="134">
        <v>1.9</v>
      </c>
    </row>
    <row r="33" spans="1:3" x14ac:dyDescent="0.2">
      <c r="A33" s="161" t="s">
        <v>119</v>
      </c>
      <c r="B33" s="167">
        <v>11.46793119</v>
      </c>
      <c r="C33" s="134">
        <v>13.522</v>
      </c>
    </row>
    <row r="34" spans="1:3" x14ac:dyDescent="0.2">
      <c r="A34" s="161" t="s">
        <v>35</v>
      </c>
      <c r="B34" s="167">
        <v>11.59</v>
      </c>
      <c r="C34" s="134">
        <v>15.872</v>
      </c>
    </row>
    <row r="35" spans="1:3" x14ac:dyDescent="0.2">
      <c r="A35" s="161" t="s">
        <v>124</v>
      </c>
      <c r="B35" s="167">
        <v>11.612559320000001</v>
      </c>
      <c r="C35" s="134">
        <v>6.165</v>
      </c>
    </row>
    <row r="36" spans="1:3" x14ac:dyDescent="0.2">
      <c r="A36" s="161" t="s">
        <v>130</v>
      </c>
      <c r="B36" s="167">
        <v>11.68</v>
      </c>
      <c r="C36" s="134">
        <v>25.727</v>
      </c>
    </row>
    <row r="37" spans="1:3" x14ac:dyDescent="0.2">
      <c r="A37" s="161" t="s">
        <v>115</v>
      </c>
      <c r="B37" s="167">
        <v>11.7</v>
      </c>
      <c r="C37" s="134">
        <v>8.2360000000000007</v>
      </c>
    </row>
    <row r="38" spans="1:3" x14ac:dyDescent="0.2">
      <c r="A38" s="161" t="s">
        <v>38</v>
      </c>
      <c r="B38" s="167">
        <v>11.79</v>
      </c>
      <c r="C38" s="134">
        <v>6.5279999999999996</v>
      </c>
    </row>
    <row r="39" spans="1:3" x14ac:dyDescent="0.2">
      <c r="A39" s="161" t="s">
        <v>36</v>
      </c>
      <c r="B39" s="167">
        <v>11.831512740000001</v>
      </c>
      <c r="C39" s="134">
        <v>0.61699999999999999</v>
      </c>
    </row>
    <row r="40" spans="1:3" x14ac:dyDescent="0.2">
      <c r="A40" s="161" t="s">
        <v>108</v>
      </c>
      <c r="B40" s="167">
        <v>11.87756564</v>
      </c>
      <c r="C40" s="134">
        <v>5.101</v>
      </c>
    </row>
    <row r="41" spans="1:3" x14ac:dyDescent="0.2">
      <c r="A41" s="161" t="s">
        <v>126</v>
      </c>
      <c r="B41" s="167">
        <v>11.943168780000001</v>
      </c>
      <c r="C41" s="134">
        <v>12.156000000000001</v>
      </c>
    </row>
    <row r="42" spans="1:3" x14ac:dyDescent="0.2">
      <c r="A42" s="161" t="s">
        <v>107</v>
      </c>
      <c r="B42" s="167">
        <v>12.14</v>
      </c>
      <c r="C42" s="134">
        <v>4.9059999999999997</v>
      </c>
    </row>
    <row r="43" spans="1:3" x14ac:dyDescent="0.2">
      <c r="A43" s="161" t="s">
        <v>109</v>
      </c>
      <c r="B43" s="167">
        <v>12.28</v>
      </c>
      <c r="C43" s="134">
        <v>16.779</v>
      </c>
    </row>
    <row r="44" spans="1:3" x14ac:dyDescent="0.2">
      <c r="A44" s="161" t="s">
        <v>120</v>
      </c>
      <c r="B44" s="167">
        <v>12.349048059999999</v>
      </c>
      <c r="C44" s="134">
        <v>10.612</v>
      </c>
    </row>
    <row r="45" spans="1:3" x14ac:dyDescent="0.2">
      <c r="A45" s="161" t="s">
        <v>82</v>
      </c>
      <c r="B45" s="167">
        <v>12.587279730000001</v>
      </c>
      <c r="C45" s="134">
        <v>3.7949999999999999</v>
      </c>
    </row>
    <row r="46" spans="1:3" x14ac:dyDescent="0.2">
      <c r="A46" s="161" t="s">
        <v>116</v>
      </c>
      <c r="B46" s="167">
        <v>12.6288942</v>
      </c>
      <c r="C46" s="134">
        <v>7.819</v>
      </c>
    </row>
    <row r="47" spans="1:3" x14ac:dyDescent="0.2">
      <c r="A47" s="161" t="s">
        <v>125</v>
      </c>
      <c r="B47" s="167">
        <v>12.68</v>
      </c>
      <c r="C47" s="134">
        <v>7.8339999999999996</v>
      </c>
    </row>
    <row r="48" spans="1:3" x14ac:dyDescent="0.2">
      <c r="A48" s="161" t="s">
        <v>95</v>
      </c>
      <c r="B48" s="167">
        <v>12.82006784</v>
      </c>
      <c r="C48" s="134">
        <v>25.757999999999999</v>
      </c>
    </row>
    <row r="50" spans="1:1" x14ac:dyDescent="0.2">
      <c r="A50" s="181" t="s">
        <v>535</v>
      </c>
    </row>
    <row r="51" spans="1:1" x14ac:dyDescent="0.2">
      <c r="A51" s="33" t="s">
        <v>556</v>
      </c>
    </row>
    <row r="52" spans="1:1" x14ac:dyDescent="0.2">
      <c r="A52" s="164" t="s">
        <v>208</v>
      </c>
    </row>
  </sheetData>
  <mergeCells count="1">
    <mergeCell ref="F3:M4"/>
  </mergeCells>
  <phoneticPr fontId="7" type="noConversion"/>
  <hyperlinks>
    <hyperlink ref="A52" r:id="rId1"/>
  </hyperlinks>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zoomScale="70" zoomScaleNormal="70" zoomScalePageLayoutView="70" workbookViewId="0">
      <selection activeCell="V32" sqref="V32"/>
    </sheetView>
  </sheetViews>
  <sheetFormatPr baseColWidth="10" defaultColWidth="8.83203125" defaultRowHeight="15" x14ac:dyDescent="0.2"/>
  <cols>
    <col min="1" max="1" width="28" customWidth="1"/>
  </cols>
  <sheetData>
    <row r="1" spans="1:17" ht="28.5" customHeight="1" x14ac:dyDescent="0.2">
      <c r="A1" s="184" t="s">
        <v>21</v>
      </c>
      <c r="C1" s="233" t="s">
        <v>589</v>
      </c>
      <c r="D1" s="238"/>
      <c r="E1" s="238"/>
      <c r="F1" s="234"/>
    </row>
    <row r="2" spans="1:17" x14ac:dyDescent="0.2">
      <c r="C2" s="235"/>
      <c r="D2" s="239"/>
      <c r="E2" s="239"/>
      <c r="F2" s="236"/>
      <c r="H2" s="212" t="s">
        <v>584</v>
      </c>
      <c r="I2" s="212"/>
      <c r="J2" s="212"/>
      <c r="K2" s="212"/>
      <c r="L2" s="212"/>
      <c r="M2" s="212"/>
      <c r="N2" s="212"/>
      <c r="O2" s="212"/>
      <c r="P2" s="212"/>
      <c r="Q2" s="212"/>
    </row>
    <row r="3" spans="1:17" ht="15" customHeight="1" x14ac:dyDescent="0.2">
      <c r="A3" s="9" t="s">
        <v>88</v>
      </c>
      <c r="C3" s="240" t="s">
        <v>96</v>
      </c>
      <c r="D3" s="241"/>
      <c r="E3" s="242" t="s">
        <v>74</v>
      </c>
      <c r="F3" s="242"/>
      <c r="H3" s="212"/>
      <c r="I3" s="212"/>
      <c r="J3" s="212"/>
      <c r="K3" s="212"/>
      <c r="L3" s="212"/>
      <c r="M3" s="212"/>
      <c r="N3" s="212"/>
      <c r="O3" s="212"/>
      <c r="P3" s="212"/>
      <c r="Q3" s="212"/>
    </row>
    <row r="4" spans="1:17" x14ac:dyDescent="0.2">
      <c r="A4" s="13" t="s">
        <v>97</v>
      </c>
      <c r="C4" s="14">
        <v>36.6</v>
      </c>
      <c r="D4" s="14" t="s">
        <v>75</v>
      </c>
      <c r="E4" s="14">
        <v>23.8</v>
      </c>
      <c r="F4" s="15"/>
    </row>
    <row r="5" spans="1:17" x14ac:dyDescent="0.2">
      <c r="A5" s="13" t="s">
        <v>98</v>
      </c>
      <c r="C5" s="14">
        <v>21.3</v>
      </c>
      <c r="D5" s="14" t="s">
        <v>75</v>
      </c>
      <c r="E5" s="14">
        <v>7.8</v>
      </c>
      <c r="F5" s="14" t="s">
        <v>75</v>
      </c>
    </row>
    <row r="6" spans="1:17" x14ac:dyDescent="0.2">
      <c r="A6" s="13" t="s">
        <v>100</v>
      </c>
      <c r="C6" s="14">
        <v>63.1</v>
      </c>
      <c r="D6" s="14" t="s">
        <v>75</v>
      </c>
      <c r="E6" s="14">
        <v>39</v>
      </c>
      <c r="F6" s="14" t="s">
        <v>75</v>
      </c>
    </row>
    <row r="7" spans="1:17" x14ac:dyDescent="0.2">
      <c r="A7" s="13" t="s">
        <v>92</v>
      </c>
      <c r="C7" s="14">
        <v>2.6</v>
      </c>
      <c r="D7" s="14" t="s">
        <v>75</v>
      </c>
      <c r="E7" s="14">
        <v>2.8</v>
      </c>
      <c r="F7" s="14" t="s">
        <v>75</v>
      </c>
    </row>
    <row r="8" spans="1:17" x14ac:dyDescent="0.2">
      <c r="A8" s="13" t="s">
        <v>93</v>
      </c>
      <c r="C8" s="14">
        <v>5</v>
      </c>
      <c r="D8" s="14" t="s">
        <v>75</v>
      </c>
      <c r="E8" s="14">
        <v>1.3</v>
      </c>
      <c r="F8" s="14" t="s">
        <v>75</v>
      </c>
    </row>
    <row r="9" spans="1:17" x14ac:dyDescent="0.2">
      <c r="A9" s="13" t="s">
        <v>94</v>
      </c>
      <c r="C9" s="14" t="s">
        <v>91</v>
      </c>
      <c r="D9" s="14" t="s">
        <v>75</v>
      </c>
      <c r="E9" s="14">
        <v>4.9000000000000004</v>
      </c>
      <c r="F9" s="14" t="s">
        <v>75</v>
      </c>
    </row>
    <row r="10" spans="1:17" x14ac:dyDescent="0.2">
      <c r="A10" s="13" t="s">
        <v>118</v>
      </c>
      <c r="C10" s="14">
        <v>13.5</v>
      </c>
      <c r="D10" s="14" t="s">
        <v>75</v>
      </c>
      <c r="E10" s="14">
        <v>9.4</v>
      </c>
      <c r="F10" s="14" t="s">
        <v>75</v>
      </c>
    </row>
    <row r="11" spans="1:17" x14ac:dyDescent="0.2">
      <c r="A11" s="13" t="s">
        <v>123</v>
      </c>
      <c r="C11" s="14" t="s">
        <v>91</v>
      </c>
      <c r="D11" s="14" t="s">
        <v>75</v>
      </c>
      <c r="E11" s="14">
        <v>6.3</v>
      </c>
      <c r="F11" s="14" t="s">
        <v>75</v>
      </c>
    </row>
    <row r="12" spans="1:17" x14ac:dyDescent="0.2">
      <c r="A12" s="16" t="s">
        <v>128</v>
      </c>
      <c r="C12" s="14">
        <v>14.2</v>
      </c>
      <c r="D12" s="14" t="s">
        <v>75</v>
      </c>
      <c r="E12" s="14">
        <v>12.6</v>
      </c>
      <c r="F12" s="14" t="s">
        <v>75</v>
      </c>
    </row>
    <row r="13" spans="1:17" x14ac:dyDescent="0.2">
      <c r="A13" s="13" t="s">
        <v>34</v>
      </c>
      <c r="C13" s="14">
        <v>5.6</v>
      </c>
      <c r="D13" s="14" t="s">
        <v>75</v>
      </c>
      <c r="E13" s="14">
        <v>2.4</v>
      </c>
      <c r="F13" s="14" t="s">
        <v>75</v>
      </c>
    </row>
    <row r="14" spans="1:17" x14ac:dyDescent="0.2">
      <c r="A14" s="13" t="s">
        <v>40</v>
      </c>
      <c r="C14" s="14" t="s">
        <v>91</v>
      </c>
      <c r="D14" s="14" t="s">
        <v>75</v>
      </c>
      <c r="E14" s="14">
        <v>46.5</v>
      </c>
      <c r="F14" s="14" t="s">
        <v>75</v>
      </c>
    </row>
    <row r="15" spans="1:17" x14ac:dyDescent="0.2">
      <c r="A15" s="13" t="s">
        <v>591</v>
      </c>
      <c r="C15" s="14" t="s">
        <v>91</v>
      </c>
      <c r="D15" s="14" t="s">
        <v>75</v>
      </c>
      <c r="E15" s="14">
        <v>13.7</v>
      </c>
      <c r="F15" s="14" t="s">
        <v>75</v>
      </c>
    </row>
    <row r="16" spans="1:17" x14ac:dyDescent="0.2">
      <c r="A16" s="13" t="s">
        <v>41</v>
      </c>
      <c r="C16" s="14" t="s">
        <v>91</v>
      </c>
      <c r="D16" s="14" t="s">
        <v>75</v>
      </c>
      <c r="E16" s="14">
        <v>29.6</v>
      </c>
      <c r="F16" s="14" t="s">
        <v>75</v>
      </c>
    </row>
    <row r="17" spans="1:17" x14ac:dyDescent="0.2">
      <c r="A17" s="13" t="s">
        <v>42</v>
      </c>
      <c r="C17" s="14">
        <v>1.6</v>
      </c>
      <c r="D17" s="14" t="s">
        <v>75</v>
      </c>
      <c r="E17" s="14">
        <v>2.2000000000000002</v>
      </c>
      <c r="F17" s="14" t="s">
        <v>75</v>
      </c>
    </row>
    <row r="18" spans="1:17" x14ac:dyDescent="0.2">
      <c r="A18" s="13" t="s">
        <v>155</v>
      </c>
      <c r="C18" s="14">
        <v>62.8</v>
      </c>
      <c r="D18" s="14"/>
      <c r="E18" s="14">
        <v>63</v>
      </c>
      <c r="F18" s="14" t="s">
        <v>75</v>
      </c>
    </row>
    <row r="20" spans="1:17" x14ac:dyDescent="0.2">
      <c r="A20" s="13" t="s">
        <v>585</v>
      </c>
    </row>
    <row r="21" spans="1:17" s="181" customFormat="1" x14ac:dyDescent="0.2">
      <c r="A21" s="13" t="s">
        <v>590</v>
      </c>
    </row>
    <row r="22" spans="1:17" x14ac:dyDescent="0.2">
      <c r="A22" s="181" t="s">
        <v>586</v>
      </c>
    </row>
    <row r="23" spans="1:17" x14ac:dyDescent="0.2">
      <c r="A23" s="181" t="s">
        <v>587</v>
      </c>
    </row>
    <row r="24" spans="1:17" ht="14" customHeight="1" x14ac:dyDescent="0.2"/>
    <row r="25" spans="1:17" x14ac:dyDescent="0.2">
      <c r="A25" s="181" t="s">
        <v>588</v>
      </c>
    </row>
    <row r="32" spans="1:17" x14ac:dyDescent="0.2">
      <c r="H32" s="191"/>
      <c r="I32" s="192"/>
      <c r="J32" s="192"/>
      <c r="K32" s="192"/>
      <c r="L32" s="192"/>
      <c r="M32" s="192"/>
      <c r="N32" s="192"/>
      <c r="O32" s="192"/>
      <c r="P32" s="192"/>
      <c r="Q32" s="192"/>
    </row>
    <row r="33" spans="8:17" x14ac:dyDescent="0.2">
      <c r="H33" s="192"/>
      <c r="I33" s="192"/>
      <c r="J33" s="192"/>
      <c r="K33" s="192"/>
      <c r="L33" s="192"/>
      <c r="M33" s="192"/>
      <c r="N33" s="192"/>
      <c r="O33" s="192"/>
      <c r="P33" s="192"/>
      <c r="Q33" s="192"/>
    </row>
    <row r="34" spans="8:17" x14ac:dyDescent="0.2">
      <c r="H34" s="192"/>
      <c r="I34" s="192"/>
      <c r="J34" s="192"/>
      <c r="K34" s="192"/>
      <c r="L34" s="192"/>
      <c r="M34" s="192"/>
      <c r="N34" s="192"/>
      <c r="O34" s="192"/>
      <c r="P34" s="192"/>
      <c r="Q34" s="192"/>
    </row>
    <row r="35" spans="8:17" x14ac:dyDescent="0.2">
      <c r="H35" s="192"/>
      <c r="I35" s="192"/>
      <c r="J35" s="192"/>
      <c r="K35" s="192"/>
      <c r="L35" s="192"/>
      <c r="M35" s="192"/>
      <c r="N35" s="192"/>
      <c r="O35" s="192"/>
      <c r="P35" s="192"/>
      <c r="Q35" s="192"/>
    </row>
    <row r="36" spans="8:17" x14ac:dyDescent="0.2">
      <c r="H36" s="192"/>
      <c r="I36" s="192"/>
      <c r="J36" s="192"/>
      <c r="K36" s="192"/>
      <c r="L36" s="192"/>
      <c r="M36" s="192"/>
      <c r="N36" s="192"/>
      <c r="O36" s="192"/>
      <c r="P36" s="192"/>
      <c r="Q36" s="192"/>
    </row>
    <row r="37" spans="8:17" x14ac:dyDescent="0.2">
      <c r="H37" s="192"/>
      <c r="I37" s="192"/>
      <c r="J37" s="192"/>
      <c r="K37" s="192"/>
      <c r="L37" s="192"/>
      <c r="M37" s="192"/>
      <c r="N37" s="192"/>
      <c r="O37" s="192"/>
      <c r="P37" s="192"/>
      <c r="Q37" s="192"/>
    </row>
    <row r="38" spans="8:17" x14ac:dyDescent="0.2">
      <c r="H38" s="192"/>
      <c r="I38" s="192"/>
      <c r="J38" s="192"/>
      <c r="K38" s="192"/>
      <c r="L38" s="192"/>
      <c r="M38" s="192"/>
      <c r="N38" s="192"/>
      <c r="O38" s="192"/>
      <c r="P38" s="192"/>
      <c r="Q38" s="192"/>
    </row>
    <row r="39" spans="8:17" x14ac:dyDescent="0.2">
      <c r="H39" s="192"/>
      <c r="I39" s="192"/>
      <c r="J39" s="192"/>
      <c r="K39" s="192"/>
      <c r="L39" s="192"/>
      <c r="M39" s="192"/>
      <c r="N39" s="192"/>
      <c r="O39" s="192"/>
      <c r="P39" s="192"/>
      <c r="Q39" s="192"/>
    </row>
    <row r="40" spans="8:17" x14ac:dyDescent="0.2">
      <c r="H40" s="192"/>
      <c r="I40" s="192"/>
      <c r="J40" s="192"/>
      <c r="K40" s="192"/>
      <c r="L40" s="192"/>
      <c r="M40" s="192"/>
      <c r="N40" s="192"/>
      <c r="O40" s="192"/>
      <c r="P40" s="192"/>
      <c r="Q40" s="192"/>
    </row>
    <row r="41" spans="8:17" x14ac:dyDescent="0.2">
      <c r="H41" s="192"/>
      <c r="I41" s="192"/>
      <c r="J41" s="192"/>
      <c r="K41" s="192"/>
      <c r="L41" s="192"/>
      <c r="M41" s="192"/>
      <c r="N41" s="192"/>
      <c r="O41" s="192"/>
      <c r="P41" s="192"/>
      <c r="Q41" s="192"/>
    </row>
    <row r="46" spans="8:17" ht="14" customHeight="1" x14ac:dyDescent="0.2"/>
    <row r="70" ht="14" customHeight="1" x14ac:dyDescent="0.2"/>
  </sheetData>
  <mergeCells count="5">
    <mergeCell ref="H2:Q3"/>
    <mergeCell ref="H32:Q41"/>
    <mergeCell ref="C1:F2"/>
    <mergeCell ref="C3:D3"/>
    <mergeCell ref="E3:F3"/>
  </mergeCells>
  <phoneticPr fontId="7"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zoomScale="70" zoomScaleNormal="70" zoomScalePageLayoutView="70" workbookViewId="0"/>
  </sheetViews>
  <sheetFormatPr baseColWidth="10" defaultColWidth="9.1640625" defaultRowHeight="15" x14ac:dyDescent="0.2"/>
  <sheetData>
    <row r="1" spans="1:4" x14ac:dyDescent="0.2">
      <c r="A1" s="3" t="s">
        <v>15</v>
      </c>
    </row>
    <row r="2" spans="1:4" x14ac:dyDescent="0.2">
      <c r="B2" t="s">
        <v>209</v>
      </c>
      <c r="C2" t="s">
        <v>210</v>
      </c>
      <c r="D2" t="s">
        <v>212</v>
      </c>
    </row>
    <row r="3" spans="1:4" x14ac:dyDescent="0.2">
      <c r="A3" t="s">
        <v>352</v>
      </c>
      <c r="B3">
        <v>88.6</v>
      </c>
      <c r="C3">
        <v>9.9</v>
      </c>
      <c r="D3">
        <v>1.5</v>
      </c>
    </row>
    <row r="4" spans="1:4" x14ac:dyDescent="0.2">
      <c r="A4" t="s">
        <v>157</v>
      </c>
      <c r="B4">
        <v>86</v>
      </c>
      <c r="C4">
        <v>12.1</v>
      </c>
      <c r="D4">
        <v>1.9</v>
      </c>
    </row>
    <row r="20" spans="1:1" x14ac:dyDescent="0.2">
      <c r="A20" s="3" t="s">
        <v>218</v>
      </c>
    </row>
    <row r="21" spans="1:1" x14ac:dyDescent="0.2">
      <c r="A21" t="s">
        <v>401</v>
      </c>
    </row>
    <row r="22" spans="1:1" x14ac:dyDescent="0.2">
      <c r="A22" t="s">
        <v>402</v>
      </c>
    </row>
  </sheetData>
  <phoneticPr fontId="7"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7"/>
  <sheetViews>
    <sheetView topLeftCell="A25" zoomScaleNormal="70" zoomScalePageLayoutView="70" workbookViewId="0">
      <selection activeCell="T10" sqref="T10"/>
    </sheetView>
  </sheetViews>
  <sheetFormatPr baseColWidth="10" defaultColWidth="10.1640625" defaultRowHeight="15" x14ac:dyDescent="0.2"/>
  <sheetData>
    <row r="1" spans="1:18" x14ac:dyDescent="0.2">
      <c r="A1" s="18" t="s">
        <v>305</v>
      </c>
    </row>
    <row r="3" spans="1:18" x14ac:dyDescent="0.2">
      <c r="A3" s="18" t="s">
        <v>306</v>
      </c>
      <c r="B3" s="19">
        <v>42082.506238425922</v>
      </c>
      <c r="F3" s="212"/>
      <c r="G3" s="212"/>
      <c r="H3" s="212"/>
      <c r="I3" s="212"/>
      <c r="J3" s="212"/>
      <c r="K3" s="212"/>
      <c r="L3" s="212"/>
      <c r="M3" s="212"/>
    </row>
    <row r="4" spans="1:18" x14ac:dyDescent="0.2">
      <c r="A4" s="18" t="s">
        <v>161</v>
      </c>
      <c r="B4" s="19">
        <v>42149.695008229166</v>
      </c>
      <c r="F4" s="212"/>
      <c r="G4" s="212"/>
      <c r="H4" s="212"/>
      <c r="I4" s="212"/>
      <c r="J4" s="212"/>
      <c r="K4" s="212"/>
      <c r="L4" s="212"/>
      <c r="M4" s="212"/>
    </row>
    <row r="5" spans="1:18" x14ac:dyDescent="0.2">
      <c r="A5" s="18" t="s">
        <v>162</v>
      </c>
      <c r="B5" s="18" t="s">
        <v>163</v>
      </c>
      <c r="F5" s="212"/>
      <c r="G5" s="212"/>
      <c r="H5" s="212"/>
      <c r="I5" s="212"/>
      <c r="J5" s="212"/>
      <c r="K5" s="212"/>
      <c r="L5" s="212"/>
      <c r="M5" s="212"/>
    </row>
    <row r="6" spans="1:18" x14ac:dyDescent="0.2">
      <c r="A6" s="18" t="s">
        <v>164</v>
      </c>
      <c r="B6" s="18" t="s">
        <v>165</v>
      </c>
    </row>
    <row r="9" spans="1:18" x14ac:dyDescent="0.2">
      <c r="A9" s="18" t="s">
        <v>166</v>
      </c>
      <c r="B9" s="18" t="s">
        <v>167</v>
      </c>
      <c r="K9" s="212" t="s">
        <v>592</v>
      </c>
      <c r="L9" s="212"/>
      <c r="M9" s="212"/>
      <c r="N9" s="212"/>
      <c r="O9" s="212"/>
      <c r="P9" s="212"/>
      <c r="Q9" s="212"/>
      <c r="R9" s="212"/>
    </row>
    <row r="10" spans="1:18" x14ac:dyDescent="0.2">
      <c r="A10" s="18" t="s">
        <v>168</v>
      </c>
      <c r="B10" s="18" t="s">
        <v>72</v>
      </c>
      <c r="K10" s="212"/>
      <c r="L10" s="212"/>
      <c r="M10" s="212"/>
      <c r="N10" s="212"/>
      <c r="O10" s="212"/>
      <c r="P10" s="212"/>
      <c r="Q10" s="212"/>
      <c r="R10" s="212"/>
    </row>
    <row r="11" spans="1:18" x14ac:dyDescent="0.2">
      <c r="A11" s="18" t="s">
        <v>169</v>
      </c>
      <c r="B11" s="18" t="s">
        <v>89</v>
      </c>
      <c r="K11" s="212"/>
      <c r="L11" s="212"/>
      <c r="M11" s="212"/>
      <c r="N11" s="212"/>
      <c r="O11" s="212"/>
      <c r="P11" s="212"/>
      <c r="Q11" s="212"/>
      <c r="R11" s="212"/>
    </row>
    <row r="12" spans="1:18" x14ac:dyDescent="0.2">
      <c r="A12" s="18" t="s">
        <v>170</v>
      </c>
      <c r="B12" s="18" t="s">
        <v>171</v>
      </c>
    </row>
    <row r="13" spans="1:18" x14ac:dyDescent="0.2">
      <c r="A13" s="18" t="s">
        <v>172</v>
      </c>
      <c r="B13" s="18" t="s">
        <v>173</v>
      </c>
    </row>
    <row r="15" spans="1:18" x14ac:dyDescent="0.2">
      <c r="A15" s="20" t="s">
        <v>174</v>
      </c>
      <c r="B15" s="20" t="s">
        <v>175</v>
      </c>
      <c r="C15" s="20" t="s">
        <v>51</v>
      </c>
      <c r="E15" s="110" t="s">
        <v>174</v>
      </c>
      <c r="F15" s="110" t="s">
        <v>175</v>
      </c>
      <c r="G15" s="110" t="s">
        <v>51</v>
      </c>
    </row>
    <row r="16" spans="1:18" x14ac:dyDescent="0.2">
      <c r="A16" s="20" t="s">
        <v>551</v>
      </c>
      <c r="B16" s="21">
        <v>5.0999999999999996</v>
      </c>
      <c r="C16" s="22" t="s">
        <v>75</v>
      </c>
      <c r="E16" s="110" t="s">
        <v>551</v>
      </c>
      <c r="F16" s="111">
        <v>1.6</v>
      </c>
      <c r="G16" s="112" t="s">
        <v>75</v>
      </c>
    </row>
    <row r="17" spans="1:7" x14ac:dyDescent="0.2">
      <c r="A17" s="20" t="s">
        <v>102</v>
      </c>
      <c r="B17" s="21">
        <v>10.4</v>
      </c>
      <c r="C17" s="22" t="s">
        <v>75</v>
      </c>
      <c r="E17" s="110" t="s">
        <v>102</v>
      </c>
      <c r="F17" s="111">
        <v>0.7</v>
      </c>
      <c r="G17" s="112" t="s">
        <v>75</v>
      </c>
    </row>
    <row r="18" spans="1:7" x14ac:dyDescent="0.2">
      <c r="A18" s="20" t="s">
        <v>104</v>
      </c>
      <c r="B18" s="21">
        <v>4.3</v>
      </c>
      <c r="C18" s="22" t="s">
        <v>75</v>
      </c>
      <c r="E18" s="110" t="s">
        <v>104</v>
      </c>
      <c r="F18" s="111">
        <v>0.3</v>
      </c>
      <c r="G18" s="112" t="s">
        <v>75</v>
      </c>
    </row>
    <row r="19" spans="1:7" x14ac:dyDescent="0.2">
      <c r="A19" s="20" t="s">
        <v>107</v>
      </c>
      <c r="B19" s="21">
        <v>5.9</v>
      </c>
      <c r="C19" s="22" t="s">
        <v>53</v>
      </c>
      <c r="E19" s="110" t="s">
        <v>107</v>
      </c>
      <c r="F19" s="111">
        <v>0.5</v>
      </c>
      <c r="G19" s="112" t="s">
        <v>53</v>
      </c>
    </row>
    <row r="20" spans="1:7" x14ac:dyDescent="0.2">
      <c r="A20" s="20" t="s">
        <v>108</v>
      </c>
      <c r="B20" s="21">
        <v>3.1</v>
      </c>
      <c r="C20" s="22" t="s">
        <v>75</v>
      </c>
      <c r="E20" s="110" t="s">
        <v>108</v>
      </c>
      <c r="F20" s="111">
        <v>1.6</v>
      </c>
      <c r="G20" s="112" t="s">
        <v>75</v>
      </c>
    </row>
    <row r="21" spans="1:7" x14ac:dyDescent="0.2">
      <c r="A21" s="20" t="s">
        <v>82</v>
      </c>
      <c r="B21" s="21">
        <v>7.1</v>
      </c>
      <c r="C21" s="22" t="s">
        <v>75</v>
      </c>
      <c r="E21" s="110" t="s">
        <v>82</v>
      </c>
      <c r="F21" s="111">
        <v>2.5</v>
      </c>
      <c r="G21" s="112" t="s">
        <v>75</v>
      </c>
    </row>
    <row r="22" spans="1:7" x14ac:dyDescent="0.2">
      <c r="A22" s="20" t="s">
        <v>109</v>
      </c>
      <c r="B22" s="21">
        <v>9</v>
      </c>
      <c r="C22" s="22" t="s">
        <v>75</v>
      </c>
      <c r="E22" s="110" t="s">
        <v>109</v>
      </c>
      <c r="F22" s="111">
        <v>0.2</v>
      </c>
      <c r="G22" s="112" t="s">
        <v>75</v>
      </c>
    </row>
    <row r="23" spans="1:7" x14ac:dyDescent="0.2">
      <c r="A23" s="20" t="s">
        <v>115</v>
      </c>
      <c r="B23" s="21">
        <v>2.6</v>
      </c>
      <c r="C23" s="22" t="s">
        <v>75</v>
      </c>
      <c r="E23" s="110" t="s">
        <v>115</v>
      </c>
      <c r="F23" s="111">
        <v>0.8</v>
      </c>
      <c r="G23" s="112" t="s">
        <v>75</v>
      </c>
    </row>
    <row r="24" spans="1:7" x14ac:dyDescent="0.2">
      <c r="A24" s="20" t="s">
        <v>32</v>
      </c>
      <c r="B24" s="21">
        <v>1.8</v>
      </c>
      <c r="C24" s="22" t="s">
        <v>75</v>
      </c>
      <c r="E24" s="110" t="s">
        <v>32</v>
      </c>
      <c r="F24" s="111">
        <v>1.1000000000000001</v>
      </c>
      <c r="G24" s="112" t="s">
        <v>75</v>
      </c>
    </row>
    <row r="25" spans="1:7" x14ac:dyDescent="0.2">
      <c r="A25" s="20" t="s">
        <v>37</v>
      </c>
      <c r="B25" s="21">
        <v>3</v>
      </c>
      <c r="C25" s="22" t="s">
        <v>75</v>
      </c>
      <c r="E25" s="110" t="s">
        <v>37</v>
      </c>
      <c r="F25" s="111">
        <v>1.2</v>
      </c>
      <c r="G25" s="112" t="s">
        <v>75</v>
      </c>
    </row>
    <row r="26" spans="1:7" x14ac:dyDescent="0.2">
      <c r="A26" s="20" t="s">
        <v>111</v>
      </c>
      <c r="B26" s="21">
        <v>5.9</v>
      </c>
      <c r="C26" s="22" t="s">
        <v>75</v>
      </c>
      <c r="E26" s="110" t="s">
        <v>111</v>
      </c>
      <c r="F26" s="111">
        <v>2</v>
      </c>
      <c r="G26" s="112" t="s">
        <v>75</v>
      </c>
    </row>
    <row r="27" spans="1:7" x14ac:dyDescent="0.2">
      <c r="A27" s="20" t="s">
        <v>117</v>
      </c>
      <c r="B27" s="21">
        <v>3.2</v>
      </c>
      <c r="C27" s="22" t="s">
        <v>75</v>
      </c>
      <c r="E27" s="110" t="s">
        <v>117</v>
      </c>
      <c r="F27" s="111">
        <v>2.4</v>
      </c>
      <c r="G27" s="112" t="s">
        <v>75</v>
      </c>
    </row>
    <row r="28" spans="1:7" x14ac:dyDescent="0.2">
      <c r="A28" s="20" t="s">
        <v>106</v>
      </c>
      <c r="B28" s="21">
        <v>2.6</v>
      </c>
      <c r="C28" s="22" t="s">
        <v>75</v>
      </c>
      <c r="E28" s="110" t="s">
        <v>106</v>
      </c>
      <c r="F28" s="111">
        <v>0.3</v>
      </c>
      <c r="G28" s="112" t="s">
        <v>75</v>
      </c>
    </row>
    <row r="29" spans="1:7" x14ac:dyDescent="0.2">
      <c r="A29" s="20" t="s">
        <v>119</v>
      </c>
      <c r="B29" s="21">
        <v>6.1</v>
      </c>
      <c r="C29" s="22" t="s">
        <v>75</v>
      </c>
      <c r="E29" s="110" t="s">
        <v>119</v>
      </c>
      <c r="F29" s="111">
        <v>1.7</v>
      </c>
      <c r="G29" s="112" t="s">
        <v>75</v>
      </c>
    </row>
    <row r="30" spans="1:7" x14ac:dyDescent="0.2">
      <c r="A30" s="20" t="s">
        <v>120</v>
      </c>
      <c r="B30" s="21">
        <v>5.6</v>
      </c>
      <c r="C30" s="22" t="s">
        <v>75</v>
      </c>
      <c r="E30" s="110" t="s">
        <v>120</v>
      </c>
      <c r="F30" s="111">
        <v>1.5</v>
      </c>
      <c r="G30" s="112" t="s">
        <v>75</v>
      </c>
    </row>
    <row r="31" spans="1:7" x14ac:dyDescent="0.2">
      <c r="A31" s="20" t="s">
        <v>121</v>
      </c>
      <c r="B31" s="21">
        <v>8</v>
      </c>
      <c r="C31" s="22" t="s">
        <v>75</v>
      </c>
      <c r="E31" s="110" t="s">
        <v>121</v>
      </c>
      <c r="F31" s="111">
        <v>1.3</v>
      </c>
      <c r="G31" s="112" t="s">
        <v>75</v>
      </c>
    </row>
    <row r="32" spans="1:7" x14ac:dyDescent="0.2">
      <c r="A32" s="20" t="s">
        <v>113</v>
      </c>
      <c r="B32" s="21">
        <v>6.1</v>
      </c>
      <c r="C32" s="22" t="s">
        <v>75</v>
      </c>
      <c r="E32" s="110" t="s">
        <v>113</v>
      </c>
      <c r="F32" s="111">
        <v>1.1000000000000001</v>
      </c>
      <c r="G32" s="112" t="s">
        <v>75</v>
      </c>
    </row>
    <row r="33" spans="1:7" x14ac:dyDescent="0.2">
      <c r="A33" s="20" t="s">
        <v>122</v>
      </c>
      <c r="B33" s="21">
        <v>0.5</v>
      </c>
      <c r="C33" s="22" t="s">
        <v>75</v>
      </c>
      <c r="E33" s="110" t="s">
        <v>122</v>
      </c>
      <c r="F33" s="111">
        <v>0.1</v>
      </c>
      <c r="G33" s="112" t="s">
        <v>75</v>
      </c>
    </row>
    <row r="34" spans="1:7" x14ac:dyDescent="0.2">
      <c r="A34" s="20" t="s">
        <v>124</v>
      </c>
      <c r="B34" s="21">
        <v>8.1999999999999993</v>
      </c>
      <c r="C34" s="22" t="s">
        <v>75</v>
      </c>
      <c r="E34" s="110" t="s">
        <v>124</v>
      </c>
      <c r="F34" s="111">
        <v>2.8</v>
      </c>
      <c r="G34" s="112" t="s">
        <v>75</v>
      </c>
    </row>
    <row r="35" spans="1:7" x14ac:dyDescent="0.2">
      <c r="A35" s="20" t="s">
        <v>99</v>
      </c>
      <c r="B35" s="21">
        <v>5</v>
      </c>
      <c r="C35" s="22" t="s">
        <v>75</v>
      </c>
      <c r="E35" s="110" t="s">
        <v>99</v>
      </c>
      <c r="F35" s="111">
        <v>0.5</v>
      </c>
      <c r="G35" s="112" t="s">
        <v>75</v>
      </c>
    </row>
    <row r="36" spans="1:7" x14ac:dyDescent="0.2">
      <c r="A36" s="20" t="s">
        <v>126</v>
      </c>
      <c r="B36" s="21">
        <v>4.8</v>
      </c>
      <c r="C36" s="22" t="s">
        <v>75</v>
      </c>
      <c r="E36" s="110" t="s">
        <v>126</v>
      </c>
      <c r="F36" s="111">
        <v>1.8</v>
      </c>
      <c r="G36" s="112" t="s">
        <v>75</v>
      </c>
    </row>
    <row r="37" spans="1:7" x14ac:dyDescent="0.2">
      <c r="A37" s="20" t="s">
        <v>127</v>
      </c>
      <c r="B37" s="21">
        <v>8.5</v>
      </c>
      <c r="C37" s="22" t="s">
        <v>75</v>
      </c>
      <c r="E37" s="110" t="s">
        <v>127</v>
      </c>
      <c r="F37" s="111">
        <v>0.9</v>
      </c>
      <c r="G37" s="112" t="s">
        <v>75</v>
      </c>
    </row>
    <row r="38" spans="1:7" x14ac:dyDescent="0.2">
      <c r="A38" s="20" t="s">
        <v>129</v>
      </c>
      <c r="B38" s="21">
        <v>3.1</v>
      </c>
      <c r="C38" s="22" t="s">
        <v>75</v>
      </c>
      <c r="E38" s="110" t="s">
        <v>129</v>
      </c>
      <c r="F38" s="111">
        <v>2</v>
      </c>
      <c r="G38" s="112" t="s">
        <v>75</v>
      </c>
    </row>
    <row r="39" spans="1:7" x14ac:dyDescent="0.2">
      <c r="A39" s="20" t="s">
        <v>36</v>
      </c>
      <c r="B39" s="21">
        <v>5.3</v>
      </c>
      <c r="C39" s="22" t="s">
        <v>75</v>
      </c>
      <c r="E39" s="110" t="s">
        <v>36</v>
      </c>
      <c r="F39" s="111">
        <v>0.6</v>
      </c>
      <c r="G39" s="112" t="s">
        <v>75</v>
      </c>
    </row>
    <row r="40" spans="1:7" x14ac:dyDescent="0.2">
      <c r="A40" s="20" t="s">
        <v>35</v>
      </c>
      <c r="B40" s="21">
        <v>3.9</v>
      </c>
      <c r="C40" s="22" t="s">
        <v>75</v>
      </c>
      <c r="E40" s="110" t="s">
        <v>35</v>
      </c>
      <c r="F40" s="111">
        <v>0.5</v>
      </c>
      <c r="G40" s="112" t="s">
        <v>75</v>
      </c>
    </row>
    <row r="41" spans="1:7" x14ac:dyDescent="0.2">
      <c r="A41" s="20" t="s">
        <v>110</v>
      </c>
      <c r="B41" s="21">
        <v>3.8</v>
      </c>
      <c r="C41" s="22" t="s">
        <v>75</v>
      </c>
      <c r="E41" s="110" t="s">
        <v>110</v>
      </c>
      <c r="F41" s="111">
        <v>0.7</v>
      </c>
      <c r="G41" s="112" t="s">
        <v>75</v>
      </c>
    </row>
    <row r="42" spans="1:7" x14ac:dyDescent="0.2">
      <c r="A42" s="20" t="s">
        <v>38</v>
      </c>
      <c r="B42" s="21">
        <v>7.2</v>
      </c>
      <c r="C42" s="22" t="s">
        <v>75</v>
      </c>
      <c r="E42" s="110" t="s">
        <v>38</v>
      </c>
      <c r="F42" s="111">
        <v>2.9</v>
      </c>
      <c r="G42" s="112" t="s">
        <v>75</v>
      </c>
    </row>
    <row r="43" spans="1:7" x14ac:dyDescent="0.2">
      <c r="A43" s="20" t="s">
        <v>95</v>
      </c>
      <c r="B43" s="21">
        <v>4.8</v>
      </c>
      <c r="C43" s="22" t="s">
        <v>75</v>
      </c>
      <c r="E43" s="110" t="s">
        <v>95</v>
      </c>
      <c r="F43" s="111">
        <v>0.5</v>
      </c>
      <c r="G43" s="112" t="s">
        <v>53</v>
      </c>
    </row>
    <row r="44" spans="1:7" x14ac:dyDescent="0.2">
      <c r="A44" s="20" t="s">
        <v>114</v>
      </c>
      <c r="B44" s="21">
        <v>4.9000000000000004</v>
      </c>
      <c r="C44" s="22" t="s">
        <v>75</v>
      </c>
      <c r="E44" s="110" t="s">
        <v>114</v>
      </c>
      <c r="F44" s="111">
        <v>3.5</v>
      </c>
      <c r="G44" s="112" t="s">
        <v>75</v>
      </c>
    </row>
    <row r="45" spans="1:7" x14ac:dyDescent="0.2">
      <c r="A45" s="20" t="s">
        <v>125</v>
      </c>
      <c r="B45" s="21">
        <v>8.8000000000000007</v>
      </c>
      <c r="C45" s="22" t="s">
        <v>75</v>
      </c>
      <c r="E45" s="110" t="s">
        <v>125</v>
      </c>
      <c r="F45" s="111">
        <v>3.5</v>
      </c>
      <c r="G45" s="112" t="s">
        <v>75</v>
      </c>
    </row>
    <row r="46" spans="1:7" x14ac:dyDescent="0.2">
      <c r="A46" s="20" t="s">
        <v>39</v>
      </c>
      <c r="B46" s="21">
        <v>4.2</v>
      </c>
      <c r="C46" s="22" t="s">
        <v>75</v>
      </c>
      <c r="E46" s="110" t="s">
        <v>39</v>
      </c>
      <c r="F46" s="111">
        <v>0.1</v>
      </c>
      <c r="G46" s="112" t="s">
        <v>75</v>
      </c>
    </row>
    <row r="47" spans="1:7" x14ac:dyDescent="0.2">
      <c r="A47" s="20" t="s">
        <v>123</v>
      </c>
      <c r="B47" s="21">
        <v>5.0999999999999996</v>
      </c>
      <c r="C47" s="22" t="s">
        <v>75</v>
      </c>
      <c r="E47" s="110" t="s">
        <v>123</v>
      </c>
      <c r="F47" s="111">
        <v>0.6</v>
      </c>
      <c r="G47" s="112" t="s">
        <v>75</v>
      </c>
    </row>
    <row r="48" spans="1:7" x14ac:dyDescent="0.2">
      <c r="A48" s="20" t="s">
        <v>34</v>
      </c>
      <c r="B48" s="21">
        <v>7.1</v>
      </c>
      <c r="C48" s="22" t="s">
        <v>53</v>
      </c>
      <c r="E48" s="110" t="s">
        <v>34</v>
      </c>
      <c r="F48" s="111">
        <v>2.5</v>
      </c>
      <c r="G48" s="112" t="s">
        <v>53</v>
      </c>
    </row>
    <row r="49" spans="1:18" s="181" customFormat="1" x14ac:dyDescent="0.2">
      <c r="F49" s="185"/>
      <c r="G49" s="18"/>
    </row>
    <row r="50" spans="1:18" s="181" customFormat="1" x14ac:dyDescent="0.2">
      <c r="A50" s="181" t="s">
        <v>548</v>
      </c>
      <c r="F50" s="185"/>
      <c r="G50" s="18"/>
    </row>
    <row r="51" spans="1:18" s="181" customFormat="1" x14ac:dyDescent="0.2">
      <c r="A51" s="181" t="s">
        <v>593</v>
      </c>
      <c r="F51" s="185"/>
      <c r="G51" s="18"/>
    </row>
    <row r="52" spans="1:18" s="181" customFormat="1" x14ac:dyDescent="0.2">
      <c r="A52" s="5" t="s">
        <v>594</v>
      </c>
      <c r="F52" s="185"/>
      <c r="G52" s="18"/>
    </row>
    <row r="53" spans="1:18" s="181" customFormat="1" x14ac:dyDescent="0.2">
      <c r="F53" s="185"/>
      <c r="G53" s="18"/>
    </row>
    <row r="54" spans="1:18" s="181" customFormat="1" x14ac:dyDescent="0.2">
      <c r="F54" s="185"/>
      <c r="G54" s="18"/>
    </row>
    <row r="55" spans="1:18" s="181" customFormat="1" x14ac:dyDescent="0.2">
      <c r="F55" s="185"/>
      <c r="G55" s="18"/>
    </row>
    <row r="56" spans="1:18" s="181" customFormat="1" x14ac:dyDescent="0.2">
      <c r="F56" s="185"/>
      <c r="G56" s="18"/>
    </row>
    <row r="57" spans="1:18" s="181" customFormat="1" x14ac:dyDescent="0.2">
      <c r="F57" s="185"/>
      <c r="G57" s="18"/>
    </row>
    <row r="59" spans="1:18" x14ac:dyDescent="0.2">
      <c r="A59" s="18" t="s">
        <v>54</v>
      </c>
      <c r="E59" s="18" t="s">
        <v>55</v>
      </c>
      <c r="K59" s="191"/>
      <c r="L59" s="192"/>
      <c r="M59" s="192"/>
      <c r="N59" s="192"/>
      <c r="O59" s="192"/>
      <c r="P59" s="192"/>
      <c r="Q59" s="192"/>
      <c r="R59" s="192"/>
    </row>
    <row r="60" spans="1:18" x14ac:dyDescent="0.2">
      <c r="A60" s="18" t="s">
        <v>56</v>
      </c>
      <c r="B60" s="18" t="s">
        <v>57</v>
      </c>
      <c r="E60" s="18" t="s">
        <v>58</v>
      </c>
      <c r="F60" s="18" t="s">
        <v>59</v>
      </c>
      <c r="K60" s="192"/>
      <c r="L60" s="192"/>
      <c r="M60" s="192"/>
      <c r="N60" s="192"/>
      <c r="O60" s="192"/>
      <c r="P60" s="192"/>
      <c r="Q60" s="192"/>
      <c r="R60" s="192"/>
    </row>
    <row r="61" spans="1:18" x14ac:dyDescent="0.2">
      <c r="A61" s="18" t="s">
        <v>60</v>
      </c>
      <c r="B61" s="18" t="s">
        <v>61</v>
      </c>
      <c r="K61" s="188"/>
      <c r="L61" s="188"/>
      <c r="M61" s="188"/>
      <c r="N61" s="188"/>
      <c r="O61" s="188"/>
      <c r="P61" s="188"/>
      <c r="Q61" s="188"/>
      <c r="R61" s="188"/>
    </row>
    <row r="62" spans="1:18" x14ac:dyDescent="0.2">
      <c r="A62" s="18" t="s">
        <v>62</v>
      </c>
      <c r="B62" s="18" t="s">
        <v>63</v>
      </c>
    </row>
    <row r="63" spans="1:18" x14ac:dyDescent="0.2">
      <c r="A63" s="18" t="s">
        <v>64</v>
      </c>
      <c r="B63" s="18" t="s">
        <v>65</v>
      </c>
    </row>
    <row r="64" spans="1:18" x14ac:dyDescent="0.2">
      <c r="A64" s="18" t="s">
        <v>66</v>
      </c>
      <c r="B64" s="18" t="s">
        <v>67</v>
      </c>
    </row>
    <row r="65" spans="1:3" x14ac:dyDescent="0.2">
      <c r="A65" s="18" t="s">
        <v>68</v>
      </c>
      <c r="B65" s="18" t="s">
        <v>50</v>
      </c>
    </row>
    <row r="66" spans="1:3" x14ac:dyDescent="0.2">
      <c r="A66" s="18" t="s">
        <v>141</v>
      </c>
      <c r="B66" s="18" t="s">
        <v>142</v>
      </c>
    </row>
    <row r="67" spans="1:3" x14ac:dyDescent="0.2">
      <c r="A67" s="18" t="s">
        <v>143</v>
      </c>
      <c r="B67" s="18" t="s">
        <v>144</v>
      </c>
    </row>
    <row r="68" spans="1:3" x14ac:dyDescent="0.2">
      <c r="A68" s="18" t="s">
        <v>145</v>
      </c>
      <c r="B68" s="18" t="s">
        <v>146</v>
      </c>
    </row>
    <row r="69" spans="1:3" x14ac:dyDescent="0.2">
      <c r="A69" s="18" t="s">
        <v>147</v>
      </c>
      <c r="B69" s="18" t="s">
        <v>148</v>
      </c>
    </row>
    <row r="70" spans="1:3" x14ac:dyDescent="0.2">
      <c r="A70" s="18" t="s">
        <v>53</v>
      </c>
      <c r="B70" s="18" t="s">
        <v>149</v>
      </c>
    </row>
    <row r="71" spans="1:3" x14ac:dyDescent="0.2">
      <c r="A71" s="18" t="s">
        <v>150</v>
      </c>
      <c r="B71" s="18" t="s">
        <v>71</v>
      </c>
    </row>
    <row r="74" spans="1:3" x14ac:dyDescent="0.2">
      <c r="A74" s="18" t="s">
        <v>166</v>
      </c>
      <c r="B74" s="18" t="s">
        <v>73</v>
      </c>
    </row>
    <row r="75" spans="1:3" x14ac:dyDescent="0.2">
      <c r="A75" s="18" t="s">
        <v>168</v>
      </c>
      <c r="B75" s="18" t="s">
        <v>72</v>
      </c>
    </row>
    <row r="76" spans="1:3" x14ac:dyDescent="0.2">
      <c r="A76" s="18" t="s">
        <v>169</v>
      </c>
      <c r="B76" s="18" t="s">
        <v>89</v>
      </c>
    </row>
    <row r="77" spans="1:3" x14ac:dyDescent="0.2">
      <c r="A77" s="18" t="s">
        <v>170</v>
      </c>
      <c r="B77" s="18" t="s">
        <v>171</v>
      </c>
    </row>
    <row r="78" spans="1:3" x14ac:dyDescent="0.2">
      <c r="A78" s="18" t="s">
        <v>172</v>
      </c>
      <c r="B78" s="18" t="s">
        <v>173</v>
      </c>
    </row>
    <row r="80" spans="1:3" x14ac:dyDescent="0.2">
      <c r="A80" s="20" t="s">
        <v>174</v>
      </c>
      <c r="B80" s="20" t="s">
        <v>175</v>
      </c>
      <c r="C80" s="20" t="s">
        <v>51</v>
      </c>
    </row>
    <row r="81" spans="1:3" x14ac:dyDescent="0.2">
      <c r="A81" s="20" t="s">
        <v>52</v>
      </c>
      <c r="B81" s="21">
        <v>1.6</v>
      </c>
      <c r="C81" s="22" t="s">
        <v>75</v>
      </c>
    </row>
    <row r="82" spans="1:3" x14ac:dyDescent="0.2">
      <c r="A82" s="20" t="s">
        <v>102</v>
      </c>
      <c r="B82" s="21">
        <v>0.7</v>
      </c>
      <c r="C82" s="22" t="s">
        <v>75</v>
      </c>
    </row>
    <row r="83" spans="1:3" x14ac:dyDescent="0.2">
      <c r="A83" s="20" t="s">
        <v>104</v>
      </c>
      <c r="B83" s="21">
        <v>0.3</v>
      </c>
      <c r="C83" s="22" t="s">
        <v>75</v>
      </c>
    </row>
    <row r="84" spans="1:3" x14ac:dyDescent="0.2">
      <c r="A84" s="20" t="s">
        <v>107</v>
      </c>
      <c r="B84" s="21">
        <v>0.5</v>
      </c>
      <c r="C84" s="22" t="s">
        <v>53</v>
      </c>
    </row>
    <row r="85" spans="1:3" x14ac:dyDescent="0.2">
      <c r="A85" s="20" t="s">
        <v>108</v>
      </c>
      <c r="B85" s="21">
        <v>1.6</v>
      </c>
      <c r="C85" s="22" t="s">
        <v>75</v>
      </c>
    </row>
    <row r="86" spans="1:3" x14ac:dyDescent="0.2">
      <c r="A86" s="20" t="s">
        <v>82</v>
      </c>
      <c r="B86" s="21">
        <v>2.5</v>
      </c>
      <c r="C86" s="22" t="s">
        <v>75</v>
      </c>
    </row>
    <row r="87" spans="1:3" x14ac:dyDescent="0.2">
      <c r="A87" s="20" t="s">
        <v>109</v>
      </c>
      <c r="B87" s="21">
        <v>0.2</v>
      </c>
      <c r="C87" s="22" t="s">
        <v>75</v>
      </c>
    </row>
    <row r="88" spans="1:3" x14ac:dyDescent="0.2">
      <c r="A88" s="20" t="s">
        <v>115</v>
      </c>
      <c r="B88" s="21">
        <v>0.8</v>
      </c>
      <c r="C88" s="22" t="s">
        <v>75</v>
      </c>
    </row>
    <row r="89" spans="1:3" x14ac:dyDescent="0.2">
      <c r="A89" s="20" t="s">
        <v>32</v>
      </c>
      <c r="B89" s="21">
        <v>1.1000000000000001</v>
      </c>
      <c r="C89" s="22" t="s">
        <v>75</v>
      </c>
    </row>
    <row r="90" spans="1:3" x14ac:dyDescent="0.2">
      <c r="A90" s="20" t="s">
        <v>37</v>
      </c>
      <c r="B90" s="21">
        <v>1.2</v>
      </c>
      <c r="C90" s="22" t="s">
        <v>75</v>
      </c>
    </row>
    <row r="91" spans="1:3" x14ac:dyDescent="0.2">
      <c r="A91" s="20" t="s">
        <v>111</v>
      </c>
      <c r="B91" s="21">
        <v>2</v>
      </c>
      <c r="C91" s="22" t="s">
        <v>75</v>
      </c>
    </row>
    <row r="92" spans="1:3" x14ac:dyDescent="0.2">
      <c r="A92" s="20" t="s">
        <v>117</v>
      </c>
      <c r="B92" s="21">
        <v>2.4</v>
      </c>
      <c r="C92" s="22" t="s">
        <v>75</v>
      </c>
    </row>
    <row r="93" spans="1:3" x14ac:dyDescent="0.2">
      <c r="A93" s="20" t="s">
        <v>106</v>
      </c>
      <c r="B93" s="21">
        <v>0.3</v>
      </c>
      <c r="C93" s="22" t="s">
        <v>75</v>
      </c>
    </row>
    <row r="94" spans="1:3" x14ac:dyDescent="0.2">
      <c r="A94" s="20" t="s">
        <v>119</v>
      </c>
      <c r="B94" s="21">
        <v>1.7</v>
      </c>
      <c r="C94" s="22" t="s">
        <v>75</v>
      </c>
    </row>
    <row r="95" spans="1:3" x14ac:dyDescent="0.2">
      <c r="A95" s="20" t="s">
        <v>120</v>
      </c>
      <c r="B95" s="21">
        <v>1.5</v>
      </c>
      <c r="C95" s="22" t="s">
        <v>75</v>
      </c>
    </row>
    <row r="96" spans="1:3" x14ac:dyDescent="0.2">
      <c r="A96" s="20" t="s">
        <v>121</v>
      </c>
      <c r="B96" s="21">
        <v>1.3</v>
      </c>
      <c r="C96" s="22" t="s">
        <v>75</v>
      </c>
    </row>
    <row r="97" spans="1:3" x14ac:dyDescent="0.2">
      <c r="A97" s="20" t="s">
        <v>113</v>
      </c>
      <c r="B97" s="21">
        <v>1.1000000000000001</v>
      </c>
      <c r="C97" s="22" t="s">
        <v>75</v>
      </c>
    </row>
    <row r="98" spans="1:3" x14ac:dyDescent="0.2">
      <c r="A98" s="20" t="s">
        <v>122</v>
      </c>
      <c r="B98" s="21">
        <v>0.1</v>
      </c>
      <c r="C98" s="22" t="s">
        <v>75</v>
      </c>
    </row>
    <row r="99" spans="1:3" x14ac:dyDescent="0.2">
      <c r="A99" s="20" t="s">
        <v>124</v>
      </c>
      <c r="B99" s="21">
        <v>2.8</v>
      </c>
      <c r="C99" s="22" t="s">
        <v>75</v>
      </c>
    </row>
    <row r="100" spans="1:3" x14ac:dyDescent="0.2">
      <c r="A100" s="20" t="s">
        <v>99</v>
      </c>
      <c r="B100" s="21">
        <v>0.5</v>
      </c>
      <c r="C100" s="22" t="s">
        <v>75</v>
      </c>
    </row>
    <row r="101" spans="1:3" x14ac:dyDescent="0.2">
      <c r="A101" s="20" t="s">
        <v>126</v>
      </c>
      <c r="B101" s="21">
        <v>1.8</v>
      </c>
      <c r="C101" s="22" t="s">
        <v>75</v>
      </c>
    </row>
    <row r="102" spans="1:3" x14ac:dyDescent="0.2">
      <c r="A102" s="20" t="s">
        <v>127</v>
      </c>
      <c r="B102" s="21">
        <v>0.9</v>
      </c>
      <c r="C102" s="22" t="s">
        <v>75</v>
      </c>
    </row>
    <row r="103" spans="1:3" x14ac:dyDescent="0.2">
      <c r="A103" s="20" t="s">
        <v>129</v>
      </c>
      <c r="B103" s="21">
        <v>2</v>
      </c>
      <c r="C103" s="22" t="s">
        <v>75</v>
      </c>
    </row>
    <row r="104" spans="1:3" x14ac:dyDescent="0.2">
      <c r="A104" s="20" t="s">
        <v>36</v>
      </c>
      <c r="B104" s="21">
        <v>0.6</v>
      </c>
      <c r="C104" s="22" t="s">
        <v>75</v>
      </c>
    </row>
    <row r="105" spans="1:3" x14ac:dyDescent="0.2">
      <c r="A105" s="20" t="s">
        <v>35</v>
      </c>
      <c r="B105" s="21">
        <v>0.5</v>
      </c>
      <c r="C105" s="22" t="s">
        <v>75</v>
      </c>
    </row>
    <row r="106" spans="1:3" x14ac:dyDescent="0.2">
      <c r="A106" s="20" t="s">
        <v>110</v>
      </c>
      <c r="B106" s="21">
        <v>0.7</v>
      </c>
      <c r="C106" s="22" t="s">
        <v>75</v>
      </c>
    </row>
    <row r="107" spans="1:3" x14ac:dyDescent="0.2">
      <c r="A107" s="20" t="s">
        <v>38</v>
      </c>
      <c r="B107" s="21">
        <v>2.9</v>
      </c>
      <c r="C107" s="22" t="s">
        <v>75</v>
      </c>
    </row>
    <row r="108" spans="1:3" x14ac:dyDescent="0.2">
      <c r="A108" s="20" t="s">
        <v>95</v>
      </c>
      <c r="B108" s="21">
        <v>0.5</v>
      </c>
      <c r="C108" s="22" t="s">
        <v>53</v>
      </c>
    </row>
    <row r="109" spans="1:3" x14ac:dyDescent="0.2">
      <c r="A109" s="20" t="s">
        <v>114</v>
      </c>
      <c r="B109" s="21">
        <v>3.5</v>
      </c>
      <c r="C109" s="22" t="s">
        <v>75</v>
      </c>
    </row>
    <row r="110" spans="1:3" x14ac:dyDescent="0.2">
      <c r="A110" s="20" t="s">
        <v>125</v>
      </c>
      <c r="B110" s="21">
        <v>3.5</v>
      </c>
      <c r="C110" s="22" t="s">
        <v>75</v>
      </c>
    </row>
    <row r="111" spans="1:3" x14ac:dyDescent="0.2">
      <c r="A111" s="20" t="s">
        <v>39</v>
      </c>
      <c r="B111" s="21">
        <v>0.1</v>
      </c>
      <c r="C111" s="22" t="s">
        <v>75</v>
      </c>
    </row>
    <row r="112" spans="1:3" x14ac:dyDescent="0.2">
      <c r="A112" s="20" t="s">
        <v>123</v>
      </c>
      <c r="B112" s="21">
        <v>0.6</v>
      </c>
      <c r="C112" s="22" t="s">
        <v>75</v>
      </c>
    </row>
    <row r="113" spans="1:6" x14ac:dyDescent="0.2">
      <c r="A113" s="20" t="s">
        <v>34</v>
      </c>
      <c r="B113" s="21">
        <v>2.5</v>
      </c>
      <c r="C113" s="22" t="s">
        <v>53</v>
      </c>
    </row>
    <row r="115" spans="1:6" x14ac:dyDescent="0.2">
      <c r="A115" s="18" t="s">
        <v>54</v>
      </c>
      <c r="E115" s="18" t="s">
        <v>55</v>
      </c>
    </row>
    <row r="116" spans="1:6" x14ac:dyDescent="0.2">
      <c r="A116" s="18" t="s">
        <v>56</v>
      </c>
      <c r="B116" s="18" t="s">
        <v>57</v>
      </c>
      <c r="E116" s="18" t="s">
        <v>58</v>
      </c>
      <c r="F116" s="18" t="s">
        <v>59</v>
      </c>
    </row>
    <row r="117" spans="1:6" x14ac:dyDescent="0.2">
      <c r="A117" s="18" t="s">
        <v>60</v>
      </c>
      <c r="B117" s="18" t="s">
        <v>61</v>
      </c>
    </row>
    <row r="118" spans="1:6" x14ac:dyDescent="0.2">
      <c r="A118" s="18" t="s">
        <v>62</v>
      </c>
      <c r="B118" s="18" t="s">
        <v>63</v>
      </c>
    </row>
    <row r="119" spans="1:6" x14ac:dyDescent="0.2">
      <c r="A119" s="18" t="s">
        <v>64</v>
      </c>
      <c r="B119" s="18" t="s">
        <v>65</v>
      </c>
    </row>
    <row r="120" spans="1:6" x14ac:dyDescent="0.2">
      <c r="A120" s="18" t="s">
        <v>66</v>
      </c>
      <c r="B120" s="18" t="s">
        <v>67</v>
      </c>
    </row>
    <row r="121" spans="1:6" x14ac:dyDescent="0.2">
      <c r="A121" s="18" t="s">
        <v>68</v>
      </c>
      <c r="B121" s="18" t="s">
        <v>50</v>
      </c>
    </row>
    <row r="122" spans="1:6" x14ac:dyDescent="0.2">
      <c r="A122" s="18" t="s">
        <v>141</v>
      </c>
      <c r="B122" s="18" t="s">
        <v>142</v>
      </c>
    </row>
    <row r="123" spans="1:6" x14ac:dyDescent="0.2">
      <c r="A123" s="18" t="s">
        <v>143</v>
      </c>
      <c r="B123" s="18" t="s">
        <v>144</v>
      </c>
    </row>
    <row r="124" spans="1:6" x14ac:dyDescent="0.2">
      <c r="A124" s="18" t="s">
        <v>145</v>
      </c>
      <c r="B124" s="18" t="s">
        <v>146</v>
      </c>
    </row>
    <row r="125" spans="1:6" x14ac:dyDescent="0.2">
      <c r="A125" s="18" t="s">
        <v>147</v>
      </c>
      <c r="B125" s="18" t="s">
        <v>148</v>
      </c>
    </row>
    <row r="126" spans="1:6" x14ac:dyDescent="0.2">
      <c r="A126" s="18" t="s">
        <v>53</v>
      </c>
      <c r="B126" s="18" t="s">
        <v>149</v>
      </c>
    </row>
    <row r="127" spans="1:6" x14ac:dyDescent="0.2">
      <c r="A127" s="18" t="s">
        <v>150</v>
      </c>
      <c r="B127" s="18" t="s">
        <v>71</v>
      </c>
    </row>
  </sheetData>
  <mergeCells count="3">
    <mergeCell ref="F3:M5"/>
    <mergeCell ref="K9:R11"/>
    <mergeCell ref="K59:R61"/>
  </mergeCells>
  <phoneticPr fontId="7" type="noConversion"/>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9"/>
  <sheetViews>
    <sheetView topLeftCell="A12" zoomScale="70" zoomScaleNormal="70" zoomScalePageLayoutView="70" workbookViewId="0"/>
  </sheetViews>
  <sheetFormatPr baseColWidth="10" defaultColWidth="11.5" defaultRowHeight="15" x14ac:dyDescent="0.2"/>
  <cols>
    <col min="2" max="2" width="21.1640625" customWidth="1"/>
    <col min="3" max="3" width="17.1640625" customWidth="1"/>
    <col min="4" max="4" width="17.5" customWidth="1"/>
    <col min="5" max="5" width="14.83203125" customWidth="1"/>
    <col min="6" max="6" width="17.1640625" customWidth="1"/>
    <col min="8" max="8" width="15.5" customWidth="1"/>
  </cols>
  <sheetData>
    <row r="1" spans="1:9" x14ac:dyDescent="0.2">
      <c r="A1" s="3" t="s">
        <v>24</v>
      </c>
    </row>
    <row r="3" spans="1:9" x14ac:dyDescent="0.2">
      <c r="B3" s="52" t="s">
        <v>219</v>
      </c>
      <c r="C3" s="52"/>
      <c r="D3" s="52" t="s">
        <v>354</v>
      </c>
      <c r="E3" s="52"/>
      <c r="G3" s="53"/>
      <c r="H3" s="53"/>
      <c r="I3" s="53"/>
    </row>
    <row r="4" spans="1:9" x14ac:dyDescent="0.2">
      <c r="A4" s="54" t="s">
        <v>355</v>
      </c>
      <c r="B4" s="55" t="s">
        <v>356</v>
      </c>
      <c r="C4" s="55"/>
      <c r="D4" s="55" t="s">
        <v>356</v>
      </c>
      <c r="E4" s="55"/>
    </row>
    <row r="5" spans="1:9" ht="45" x14ac:dyDescent="0.2">
      <c r="A5" s="56" t="s">
        <v>357</v>
      </c>
      <c r="B5" s="57" t="s">
        <v>358</v>
      </c>
      <c r="C5" s="57" t="s">
        <v>359</v>
      </c>
      <c r="D5" s="57" t="s">
        <v>360</v>
      </c>
      <c r="E5" s="57" t="s">
        <v>361</v>
      </c>
    </row>
    <row r="6" spans="1:9" x14ac:dyDescent="0.2">
      <c r="A6" s="58" t="s">
        <v>111</v>
      </c>
      <c r="B6">
        <v>9.4896955340520641</v>
      </c>
      <c r="C6">
        <v>8.8066398312461676</v>
      </c>
      <c r="D6">
        <v>15.139019027056548</v>
      </c>
      <c r="E6">
        <v>12.26466810111801</v>
      </c>
    </row>
    <row r="7" spans="1:9" x14ac:dyDescent="0.2">
      <c r="A7" s="58" t="s">
        <v>116</v>
      </c>
      <c r="B7">
        <v>13.103525338418994</v>
      </c>
      <c r="C7">
        <v>9.5947046376548464</v>
      </c>
      <c r="D7">
        <v>33.921268866306406</v>
      </c>
      <c r="E7">
        <v>19.053234711996218</v>
      </c>
    </row>
    <row r="8" spans="1:9" x14ac:dyDescent="0.2">
      <c r="A8" s="58" t="s">
        <v>37</v>
      </c>
      <c r="B8">
        <v>13.335529471370588</v>
      </c>
      <c r="C8">
        <v>8.6413607856210515</v>
      </c>
      <c r="D8">
        <v>24.217722393141603</v>
      </c>
      <c r="E8">
        <v>15.282347918199729</v>
      </c>
    </row>
    <row r="9" spans="1:9" x14ac:dyDescent="0.2">
      <c r="A9" s="58" t="s">
        <v>39</v>
      </c>
      <c r="B9">
        <v>13.410305617618912</v>
      </c>
      <c r="C9">
        <v>8.3769800337643847</v>
      </c>
      <c r="D9">
        <v>25.068588086045583</v>
      </c>
      <c r="E9">
        <v>11.138826325010044</v>
      </c>
    </row>
    <row r="10" spans="1:9" x14ac:dyDescent="0.2">
      <c r="A10" s="58" t="s">
        <v>121</v>
      </c>
      <c r="B10">
        <v>13.92954849574522</v>
      </c>
      <c r="C10">
        <v>10.031893376063694</v>
      </c>
      <c r="D10">
        <v>29.062867743925327</v>
      </c>
      <c r="E10">
        <v>24.142967348554109</v>
      </c>
    </row>
    <row r="11" spans="1:9" x14ac:dyDescent="0.2">
      <c r="A11" s="58" t="s">
        <v>114</v>
      </c>
      <c r="B11">
        <v>13.986741351293697</v>
      </c>
      <c r="C11">
        <v>12.567482341109276</v>
      </c>
      <c r="D11">
        <v>44.631034120792478</v>
      </c>
      <c r="E11">
        <v>27.473962549176189</v>
      </c>
    </row>
    <row r="12" spans="1:9" x14ac:dyDescent="0.2">
      <c r="A12" s="58" t="s">
        <v>127</v>
      </c>
      <c r="B12">
        <v>14.34071338046491</v>
      </c>
      <c r="C12">
        <v>16.070619904198907</v>
      </c>
      <c r="D12">
        <v>34.47049437569445</v>
      </c>
      <c r="E12">
        <v>37.043173606222275</v>
      </c>
    </row>
    <row r="13" spans="1:9" x14ac:dyDescent="0.2">
      <c r="A13" s="58" t="s">
        <v>108</v>
      </c>
      <c r="B13">
        <v>15.043530922705022</v>
      </c>
      <c r="C13">
        <v>12.581606091990482</v>
      </c>
      <c r="D13">
        <v>39.918169582441365</v>
      </c>
      <c r="E13">
        <v>24.336791918781319</v>
      </c>
    </row>
    <row r="14" spans="1:9" x14ac:dyDescent="0.2">
      <c r="A14" s="58" t="s">
        <v>124</v>
      </c>
      <c r="B14">
        <v>15.570017470185803</v>
      </c>
      <c r="C14">
        <v>10.542654519002275</v>
      </c>
      <c r="D14">
        <v>35.169524921736858</v>
      </c>
      <c r="E14">
        <v>18.625922927907087</v>
      </c>
    </row>
    <row r="15" spans="1:9" x14ac:dyDescent="0.2">
      <c r="A15" s="58" t="s">
        <v>36</v>
      </c>
      <c r="B15">
        <v>16.043718722516147</v>
      </c>
      <c r="C15">
        <v>17.61583006115157</v>
      </c>
      <c r="D15">
        <v>35.590628046261457</v>
      </c>
      <c r="E15">
        <v>25.653850119169373</v>
      </c>
    </row>
    <row r="16" spans="1:9" x14ac:dyDescent="0.2">
      <c r="A16" s="58" t="s">
        <v>117</v>
      </c>
      <c r="B16">
        <v>16.062229017490495</v>
      </c>
      <c r="C16">
        <v>8.9586381412413001</v>
      </c>
      <c r="D16">
        <v>28.483448397160942</v>
      </c>
      <c r="E16">
        <v>15.071595148908546</v>
      </c>
    </row>
    <row r="17" spans="1:5" x14ac:dyDescent="0.2">
      <c r="A17" s="58" t="s">
        <v>106</v>
      </c>
      <c r="B17">
        <v>17.943179579985703</v>
      </c>
      <c r="C17">
        <v>5.7352865163565401</v>
      </c>
      <c r="D17">
        <v>27.582957035251944</v>
      </c>
      <c r="E17">
        <v>23.806715634307338</v>
      </c>
    </row>
    <row r="18" spans="1:5" x14ac:dyDescent="0.2">
      <c r="A18" s="58" t="s">
        <v>125</v>
      </c>
      <c r="B18">
        <v>19.774838027139062</v>
      </c>
      <c r="C18">
        <v>10.125967185516943</v>
      </c>
      <c r="D18">
        <v>34.965717185501411</v>
      </c>
      <c r="E18">
        <v>14.260336550075822</v>
      </c>
    </row>
    <row r="19" spans="1:5" x14ac:dyDescent="0.2">
      <c r="A19" s="58" t="s">
        <v>82</v>
      </c>
      <c r="B19">
        <v>20.263344418803854</v>
      </c>
      <c r="C19">
        <v>10.068865849643084</v>
      </c>
      <c r="D19">
        <v>40.170459648277244</v>
      </c>
      <c r="E19">
        <v>16.410973957491773</v>
      </c>
    </row>
    <row r="20" spans="1:5" x14ac:dyDescent="0.2">
      <c r="A20" s="58" t="s">
        <v>95</v>
      </c>
      <c r="B20">
        <v>20.724670622202737</v>
      </c>
      <c r="C20">
        <v>11.29308056429808</v>
      </c>
      <c r="D20">
        <v>52.361630612527868</v>
      </c>
      <c r="E20">
        <v>21.708888898746284</v>
      </c>
    </row>
    <row r="21" spans="1:5" x14ac:dyDescent="0.2">
      <c r="A21" s="58" t="s">
        <v>38</v>
      </c>
      <c r="B21">
        <v>21.171711485442994</v>
      </c>
      <c r="C21">
        <v>9.9423730447194103</v>
      </c>
      <c r="D21">
        <v>36.905694896018993</v>
      </c>
      <c r="E21">
        <v>18.345373498041422</v>
      </c>
    </row>
    <row r="22" spans="1:5" x14ac:dyDescent="0.2">
      <c r="A22" s="58" t="s">
        <v>110</v>
      </c>
      <c r="B22">
        <v>22.800784238304463</v>
      </c>
      <c r="C22">
        <v>11.62945768716355</v>
      </c>
      <c r="D22">
        <v>46.05295301397345</v>
      </c>
      <c r="E22">
        <v>21.712862080116022</v>
      </c>
    </row>
    <row r="23" spans="1:5" x14ac:dyDescent="0.2">
      <c r="A23" s="58" t="s">
        <v>102</v>
      </c>
      <c r="B23">
        <v>23.327752465770178</v>
      </c>
      <c r="C23">
        <v>11.940240192375777</v>
      </c>
      <c r="D23">
        <v>37.809412130934973</v>
      </c>
      <c r="E23">
        <v>15.895709263619718</v>
      </c>
    </row>
    <row r="24" spans="1:5" x14ac:dyDescent="0.2">
      <c r="A24" s="58" t="s">
        <v>99</v>
      </c>
      <c r="B24">
        <v>26.282818441947974</v>
      </c>
      <c r="C24">
        <v>10.725925391805681</v>
      </c>
      <c r="D24">
        <v>40.616480787733167</v>
      </c>
      <c r="E24">
        <v>15.903132672688056</v>
      </c>
    </row>
    <row r="25" spans="1:5" x14ac:dyDescent="0.2">
      <c r="A25" s="58" t="s">
        <v>115</v>
      </c>
      <c r="B25">
        <v>26.670330732748255</v>
      </c>
      <c r="C25">
        <v>11.109783126452673</v>
      </c>
      <c r="D25">
        <v>54.95459217033298</v>
      </c>
      <c r="E25">
        <v>20.638636135753782</v>
      </c>
    </row>
    <row r="26" spans="1:5" x14ac:dyDescent="0.2">
      <c r="A26" s="58" t="s">
        <v>32</v>
      </c>
      <c r="B26">
        <v>30.135802590700539</v>
      </c>
      <c r="C26">
        <v>22.757464026074185</v>
      </c>
      <c r="D26">
        <v>38.315398688098121</v>
      </c>
      <c r="E26">
        <v>35.778786168039659</v>
      </c>
    </row>
    <row r="27" spans="1:5" x14ac:dyDescent="0.2">
      <c r="A27" s="58" t="s">
        <v>122</v>
      </c>
      <c r="B27">
        <v>30.518330330784366</v>
      </c>
      <c r="C27">
        <v>11.703025613682765</v>
      </c>
      <c r="D27">
        <v>67.717222371003999</v>
      </c>
      <c r="E27">
        <v>26.707916084059878</v>
      </c>
    </row>
    <row r="28" spans="1:5" x14ac:dyDescent="0.2">
      <c r="A28" s="58" t="s">
        <v>109</v>
      </c>
      <c r="B28">
        <v>36.134445955083194</v>
      </c>
      <c r="C28">
        <v>15.827945783759736</v>
      </c>
      <c r="D28">
        <v>108.74907558110343</v>
      </c>
      <c r="E28">
        <v>63.021685942106252</v>
      </c>
    </row>
    <row r="29" spans="1:5" x14ac:dyDescent="0.2">
      <c r="A29" s="58" t="s">
        <v>123</v>
      </c>
      <c r="B29">
        <v>37.971078695060598</v>
      </c>
      <c r="C29">
        <v>37.971078695060598</v>
      </c>
      <c r="D29">
        <v>53.300474075777423</v>
      </c>
      <c r="E29">
        <v>61.984901426918029</v>
      </c>
    </row>
    <row r="30" spans="1:5" x14ac:dyDescent="0.2">
      <c r="A30" s="58" t="s">
        <v>81</v>
      </c>
      <c r="B30">
        <v>39.036265257542624</v>
      </c>
      <c r="C30">
        <v>28.653759112803186</v>
      </c>
      <c r="D30">
        <v>75.825836999255756</v>
      </c>
      <c r="E30">
        <v>61.777056563018498</v>
      </c>
    </row>
    <row r="31" spans="1:5" x14ac:dyDescent="0.2">
      <c r="A31" s="58" t="s">
        <v>126</v>
      </c>
      <c r="B31">
        <v>48.138349599997113</v>
      </c>
      <c r="C31">
        <v>38.043026610887082</v>
      </c>
      <c r="D31">
        <v>70.175409632025421</v>
      </c>
      <c r="E31">
        <v>59.464091896766114</v>
      </c>
    </row>
    <row r="32" spans="1:5" x14ac:dyDescent="0.2">
      <c r="A32" s="58" t="s">
        <v>107</v>
      </c>
      <c r="B32">
        <v>48.565177980752203</v>
      </c>
      <c r="C32">
        <v>17.796585079183362</v>
      </c>
      <c r="D32">
        <v>81.13704819277109</v>
      </c>
      <c r="E32">
        <v>40.044946393423409</v>
      </c>
    </row>
    <row r="33" spans="1:5" x14ac:dyDescent="0.2">
      <c r="A33" s="58" t="s">
        <v>34</v>
      </c>
      <c r="B33">
        <v>50.976301813802898</v>
      </c>
      <c r="C33">
        <v>46.606189552584176</v>
      </c>
      <c r="D33">
        <v>89.38278869745308</v>
      </c>
      <c r="E33">
        <v>107.46733363794515</v>
      </c>
    </row>
    <row r="34" spans="1:5" x14ac:dyDescent="0.2">
      <c r="A34" s="58" t="s">
        <v>41</v>
      </c>
      <c r="B34">
        <v>54.220981034011935</v>
      </c>
      <c r="C34">
        <v>35.976126215887888</v>
      </c>
      <c r="D34">
        <v>85.0406744654519</v>
      </c>
      <c r="E34">
        <v>63.026711528634763</v>
      </c>
    </row>
    <row r="35" spans="1:5" x14ac:dyDescent="0.2">
      <c r="A35" s="58" t="s">
        <v>85</v>
      </c>
      <c r="B35">
        <v>54.687031276445559</v>
      </c>
      <c r="C35">
        <v>68.105375097218044</v>
      </c>
      <c r="D35">
        <v>89.208862603998568</v>
      </c>
      <c r="E35">
        <v>140.45709927803509</v>
      </c>
    </row>
    <row r="36" spans="1:5" x14ac:dyDescent="0.2">
      <c r="A36" s="58" t="s">
        <v>93</v>
      </c>
      <c r="B36">
        <v>58.404479727653154</v>
      </c>
      <c r="C36">
        <v>65.150215606305153</v>
      </c>
      <c r="D36">
        <v>99.034506090967</v>
      </c>
      <c r="E36">
        <v>109.2552079717051</v>
      </c>
    </row>
    <row r="37" spans="1:5" x14ac:dyDescent="0.2">
      <c r="A37" s="58" t="s">
        <v>129</v>
      </c>
      <c r="B37">
        <v>61.481683445647292</v>
      </c>
      <c r="C37">
        <v>52.387478737190399</v>
      </c>
      <c r="D37">
        <v>98.570685909310285</v>
      </c>
      <c r="E37">
        <v>99.167080833965358</v>
      </c>
    </row>
    <row r="38" spans="1:5" x14ac:dyDescent="0.2">
      <c r="A38" s="58" t="s">
        <v>113</v>
      </c>
      <c r="B38">
        <v>66.907973152066205</v>
      </c>
      <c r="C38">
        <v>27.651963790650591</v>
      </c>
      <c r="D38">
        <v>95.502355615069703</v>
      </c>
      <c r="E38">
        <v>56.149260117844754</v>
      </c>
    </row>
    <row r="39" spans="1:5" x14ac:dyDescent="0.2">
      <c r="A39" s="58" t="s">
        <v>35</v>
      </c>
      <c r="B39">
        <v>70.977565457505207</v>
      </c>
      <c r="C39">
        <v>34.250951024866694</v>
      </c>
      <c r="D39">
        <v>105.0229604135551</v>
      </c>
      <c r="E39">
        <v>29.744189062096552</v>
      </c>
    </row>
    <row r="40" spans="1:5" x14ac:dyDescent="0.2">
      <c r="A40" s="58" t="s">
        <v>97</v>
      </c>
      <c r="B40">
        <v>71.395084427349857</v>
      </c>
      <c r="C40">
        <v>75.809062943200942</v>
      </c>
      <c r="D40">
        <v>94.531993139849874</v>
      </c>
      <c r="E40">
        <v>109.31631113649992</v>
      </c>
    </row>
    <row r="41" spans="1:5" x14ac:dyDescent="0.2">
      <c r="A41" s="58" t="s">
        <v>120</v>
      </c>
      <c r="B41">
        <v>76.359581101297181</v>
      </c>
      <c r="C41">
        <v>39.653370841509989</v>
      </c>
      <c r="D41">
        <v>88.839239801672463</v>
      </c>
      <c r="E41">
        <v>50.753511392526867</v>
      </c>
    </row>
    <row r="42" spans="1:5" x14ac:dyDescent="0.2">
      <c r="A42" s="58" t="s">
        <v>104</v>
      </c>
      <c r="B42">
        <v>76.700820282713082</v>
      </c>
      <c r="C42">
        <v>67.358096806710336</v>
      </c>
      <c r="D42">
        <v>128.03464769970546</v>
      </c>
      <c r="E42">
        <v>95.735780601341631</v>
      </c>
    </row>
    <row r="43" spans="1:5" x14ac:dyDescent="0.2">
      <c r="A43" s="58" t="s">
        <v>119</v>
      </c>
      <c r="B43">
        <v>84.550134704992658</v>
      </c>
      <c r="C43">
        <v>41.266981595103452</v>
      </c>
      <c r="D43">
        <v>114.24118926946967</v>
      </c>
      <c r="E43">
        <v>80.495997456121557</v>
      </c>
    </row>
    <row r="44" spans="1:5" x14ac:dyDescent="0.2">
      <c r="A44" s="58" t="s">
        <v>94</v>
      </c>
      <c r="B44">
        <v>96.228475202574387</v>
      </c>
      <c r="C44">
        <v>79.494519699284425</v>
      </c>
      <c r="D44">
        <v>146.2062800653438</v>
      </c>
      <c r="E44">
        <v>96.642271588348734</v>
      </c>
    </row>
    <row r="45" spans="1:5" x14ac:dyDescent="0.2">
      <c r="A45" s="58" t="s">
        <v>98</v>
      </c>
      <c r="B45">
        <v>102.73393243680358</v>
      </c>
      <c r="C45">
        <v>58.682970649322307</v>
      </c>
      <c r="D45">
        <v>136.32531090551313</v>
      </c>
      <c r="E45">
        <v>72.271106621752324</v>
      </c>
    </row>
    <row r="46" spans="1:5" x14ac:dyDescent="0.2">
      <c r="A46" s="59" t="s">
        <v>100</v>
      </c>
      <c r="B46">
        <v>123.328816496759</v>
      </c>
      <c r="C46">
        <v>73.323907192401307</v>
      </c>
      <c r="D46">
        <v>235.91427752511979</v>
      </c>
      <c r="E46">
        <v>108.50305617767823</v>
      </c>
    </row>
    <row r="47" spans="1:5" x14ac:dyDescent="0.2">
      <c r="A47" s="58" t="s">
        <v>130</v>
      </c>
      <c r="B47">
        <v>129.59273232802073</v>
      </c>
      <c r="C47">
        <v>88.495958166023939</v>
      </c>
      <c r="D47">
        <v>180.16447479192436</v>
      </c>
      <c r="E47">
        <v>145.97025134737552</v>
      </c>
    </row>
    <row r="48" spans="1:5" x14ac:dyDescent="0.2">
      <c r="A48" s="58" t="s">
        <v>92</v>
      </c>
      <c r="B48">
        <v>144.82687419880787</v>
      </c>
      <c r="C48">
        <v>54.600184981795337</v>
      </c>
      <c r="D48">
        <v>212.0347829731266</v>
      </c>
      <c r="E48">
        <v>85.95075340488755</v>
      </c>
    </row>
    <row r="49" spans="1:5" x14ac:dyDescent="0.2">
      <c r="A49" s="58" t="s">
        <v>128</v>
      </c>
      <c r="B49">
        <v>147.77768879363768</v>
      </c>
      <c r="C49">
        <v>95.118751447703644</v>
      </c>
      <c r="D49">
        <v>244.31314985085547</v>
      </c>
      <c r="E49">
        <v>160.64290370465775</v>
      </c>
    </row>
    <row r="50" spans="1:5" x14ac:dyDescent="0.2">
      <c r="A50" s="58" t="s">
        <v>22</v>
      </c>
      <c r="B50">
        <v>173.53672775147066</v>
      </c>
      <c r="C50">
        <v>108.24471994457679</v>
      </c>
      <c r="D50">
        <v>175.71523773596516</v>
      </c>
      <c r="E50">
        <v>191.65551369001395</v>
      </c>
    </row>
    <row r="51" spans="1:5" x14ac:dyDescent="0.2">
      <c r="A51" s="58" t="s">
        <v>118</v>
      </c>
      <c r="B51">
        <v>176.87079666966596</v>
      </c>
      <c r="C51">
        <v>119.39658298747455</v>
      </c>
      <c r="D51">
        <v>236.53897127405278</v>
      </c>
      <c r="E51">
        <v>170.63538466623513</v>
      </c>
    </row>
    <row r="52" spans="1:5" x14ac:dyDescent="0.2">
      <c r="A52" s="58" t="s">
        <v>42</v>
      </c>
      <c r="B52">
        <v>184.06352230161789</v>
      </c>
      <c r="C52">
        <v>69.680334623298833</v>
      </c>
      <c r="D52">
        <v>227.00688534967605</v>
      </c>
      <c r="E52">
        <v>97.369136932392664</v>
      </c>
    </row>
    <row r="53" spans="1:5" x14ac:dyDescent="0.2">
      <c r="A53" s="58" t="s">
        <v>40</v>
      </c>
      <c r="B53">
        <v>220.02850668641761</v>
      </c>
      <c r="C53">
        <v>164.03951253739021</v>
      </c>
      <c r="D53">
        <v>270.88549296024763</v>
      </c>
      <c r="E53">
        <v>192.97232787886273</v>
      </c>
    </row>
    <row r="54" spans="1:5" x14ac:dyDescent="0.2">
      <c r="A54" s="58" t="s">
        <v>155</v>
      </c>
      <c r="B54">
        <v>250.14920532851258</v>
      </c>
      <c r="C54">
        <v>139.40073759120409</v>
      </c>
      <c r="D54">
        <v>277.2472744626873</v>
      </c>
      <c r="E54">
        <v>150.98185446459098</v>
      </c>
    </row>
    <row r="55" spans="1:5" x14ac:dyDescent="0.2">
      <c r="A55" s="58" t="s">
        <v>83</v>
      </c>
      <c r="B55">
        <v>343.39585902204345</v>
      </c>
      <c r="C55">
        <v>158.70373406676705</v>
      </c>
      <c r="D55">
        <v>351.85332684031721</v>
      </c>
      <c r="E55">
        <v>161.56918973786196</v>
      </c>
    </row>
    <row r="58" spans="1:5" x14ac:dyDescent="0.2">
      <c r="A58" s="60" t="s">
        <v>403</v>
      </c>
    </row>
    <row r="59" spans="1:5" x14ac:dyDescent="0.2">
      <c r="A59" t="s">
        <v>406</v>
      </c>
    </row>
  </sheetData>
  <phoneticPr fontId="7" type="noConversion"/>
  <conditionalFormatting sqref="A9">
    <cfRule type="expression" dxfId="7" priority="1">
      <formula>A$9=2</formula>
    </cfRule>
    <cfRule type="expression" dxfId="6" priority="2">
      <formula>A$9=3</formula>
    </cfRule>
    <cfRule type="expression" dxfId="5" priority="3">
      <formula>A$9=4</formula>
    </cfRule>
    <cfRule type="expression" dxfId="4" priority="4">
      <formula>A$9=1</formula>
    </cfRule>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9"/>
  <sheetViews>
    <sheetView topLeftCell="A15" zoomScale="70" zoomScaleNormal="70" zoomScalePageLayoutView="70" workbookViewId="0">
      <selection activeCell="Q41" sqref="Q41"/>
    </sheetView>
  </sheetViews>
  <sheetFormatPr baseColWidth="10" defaultColWidth="11.5" defaultRowHeight="15" x14ac:dyDescent="0.2"/>
  <cols>
    <col min="2" max="2" width="21.1640625" customWidth="1"/>
    <col min="3" max="3" width="17.1640625" customWidth="1"/>
    <col min="4" max="4" width="17.5" customWidth="1"/>
    <col min="5" max="5" width="14.83203125" customWidth="1"/>
    <col min="6" max="6" width="17.1640625" customWidth="1"/>
    <col min="8" max="8" width="15.5" customWidth="1"/>
  </cols>
  <sheetData>
    <row r="1" spans="1:9" x14ac:dyDescent="0.2">
      <c r="A1" s="3" t="s">
        <v>25</v>
      </c>
    </row>
    <row r="3" spans="1:9" x14ac:dyDescent="0.2">
      <c r="B3" s="52" t="s">
        <v>219</v>
      </c>
      <c r="C3" s="52"/>
      <c r="D3" s="52" t="s">
        <v>354</v>
      </c>
      <c r="E3" s="52"/>
      <c r="G3" s="53"/>
      <c r="H3" s="53"/>
      <c r="I3" s="53"/>
    </row>
    <row r="4" spans="1:9" x14ac:dyDescent="0.2">
      <c r="A4" s="54" t="s">
        <v>355</v>
      </c>
      <c r="B4" s="55" t="s">
        <v>356</v>
      </c>
      <c r="C4" s="55"/>
      <c r="D4" s="55" t="s">
        <v>356</v>
      </c>
      <c r="E4" s="55"/>
    </row>
    <row r="5" spans="1:9" ht="45" x14ac:dyDescent="0.2">
      <c r="A5" s="56" t="s">
        <v>357</v>
      </c>
      <c r="B5" s="57" t="s">
        <v>358</v>
      </c>
      <c r="C5" s="57" t="s">
        <v>359</v>
      </c>
      <c r="D5" s="57" t="s">
        <v>360</v>
      </c>
      <c r="E5" s="57" t="s">
        <v>361</v>
      </c>
    </row>
    <row r="6" spans="1:9" x14ac:dyDescent="0.2">
      <c r="A6" s="58" t="s">
        <v>111</v>
      </c>
      <c r="B6">
        <v>9.4896955340520641</v>
      </c>
      <c r="C6">
        <v>8.8066398312461676</v>
      </c>
      <c r="D6">
        <v>15.139019027056548</v>
      </c>
      <c r="E6">
        <v>12.26466810111801</v>
      </c>
    </row>
    <row r="7" spans="1:9" x14ac:dyDescent="0.2">
      <c r="A7" s="58" t="s">
        <v>116</v>
      </c>
      <c r="B7">
        <v>13.103525338418994</v>
      </c>
      <c r="C7">
        <v>9.5947046376548464</v>
      </c>
      <c r="D7">
        <v>33.921268866306406</v>
      </c>
      <c r="E7">
        <v>19.053234711996218</v>
      </c>
    </row>
    <row r="8" spans="1:9" x14ac:dyDescent="0.2">
      <c r="A8" s="58" t="s">
        <v>37</v>
      </c>
      <c r="B8">
        <v>13.335529471370588</v>
      </c>
      <c r="C8">
        <v>8.6413607856210515</v>
      </c>
      <c r="D8">
        <v>24.217722393141603</v>
      </c>
      <c r="E8">
        <v>15.282347918199729</v>
      </c>
    </row>
    <row r="9" spans="1:9" x14ac:dyDescent="0.2">
      <c r="A9" s="58" t="s">
        <v>39</v>
      </c>
      <c r="B9">
        <v>13.410305617618912</v>
      </c>
      <c r="C9">
        <v>8.3769800337643847</v>
      </c>
      <c r="D9">
        <v>25.068588086045583</v>
      </c>
      <c r="E9">
        <v>11.138826325010044</v>
      </c>
    </row>
    <row r="10" spans="1:9" x14ac:dyDescent="0.2">
      <c r="A10" s="58" t="s">
        <v>121</v>
      </c>
      <c r="B10">
        <v>13.92954849574522</v>
      </c>
      <c r="C10">
        <v>10.031893376063694</v>
      </c>
      <c r="D10">
        <v>29.062867743925327</v>
      </c>
      <c r="E10">
        <v>24.142967348554109</v>
      </c>
    </row>
    <row r="11" spans="1:9" x14ac:dyDescent="0.2">
      <c r="A11" s="58" t="s">
        <v>114</v>
      </c>
      <c r="B11">
        <v>13.986741351293697</v>
      </c>
      <c r="C11">
        <v>12.567482341109276</v>
      </c>
      <c r="D11">
        <v>44.631034120792478</v>
      </c>
      <c r="E11">
        <v>27.473962549176189</v>
      </c>
    </row>
    <row r="12" spans="1:9" x14ac:dyDescent="0.2">
      <c r="A12" s="58" t="s">
        <v>127</v>
      </c>
      <c r="B12">
        <v>14.34071338046491</v>
      </c>
      <c r="C12">
        <v>16.070619904198907</v>
      </c>
      <c r="D12">
        <v>34.47049437569445</v>
      </c>
      <c r="E12">
        <v>37.043173606222275</v>
      </c>
    </row>
    <row r="13" spans="1:9" x14ac:dyDescent="0.2">
      <c r="A13" s="58" t="s">
        <v>108</v>
      </c>
      <c r="B13">
        <v>15.043530922705022</v>
      </c>
      <c r="C13">
        <v>12.581606091990482</v>
      </c>
      <c r="D13">
        <v>39.918169582441365</v>
      </c>
      <c r="E13">
        <v>24.336791918781319</v>
      </c>
    </row>
    <row r="14" spans="1:9" x14ac:dyDescent="0.2">
      <c r="A14" s="58" t="s">
        <v>124</v>
      </c>
      <c r="B14">
        <v>15.570017470185803</v>
      </c>
      <c r="C14">
        <v>10.542654519002275</v>
      </c>
      <c r="D14">
        <v>35.169524921736858</v>
      </c>
      <c r="E14">
        <v>18.625922927907087</v>
      </c>
    </row>
    <row r="15" spans="1:9" x14ac:dyDescent="0.2">
      <c r="A15" s="58" t="s">
        <v>36</v>
      </c>
      <c r="B15">
        <v>16.043718722516147</v>
      </c>
      <c r="C15">
        <v>17.61583006115157</v>
      </c>
      <c r="D15">
        <v>35.590628046261457</v>
      </c>
      <c r="E15">
        <v>25.653850119169373</v>
      </c>
    </row>
    <row r="16" spans="1:9" x14ac:dyDescent="0.2">
      <c r="A16" s="58" t="s">
        <v>117</v>
      </c>
      <c r="B16">
        <v>16.062229017490495</v>
      </c>
      <c r="C16">
        <v>8.9586381412413001</v>
      </c>
      <c r="D16">
        <v>28.483448397160942</v>
      </c>
      <c r="E16">
        <v>15.071595148908546</v>
      </c>
    </row>
    <row r="17" spans="1:5" x14ac:dyDescent="0.2">
      <c r="A17" s="58" t="s">
        <v>106</v>
      </c>
      <c r="B17">
        <v>17.943179579985703</v>
      </c>
      <c r="C17">
        <v>5.7352865163565401</v>
      </c>
      <c r="D17">
        <v>27.582957035251944</v>
      </c>
      <c r="E17">
        <v>23.806715634307338</v>
      </c>
    </row>
    <row r="18" spans="1:5" x14ac:dyDescent="0.2">
      <c r="A18" s="58" t="s">
        <v>125</v>
      </c>
      <c r="B18">
        <v>19.774838027139062</v>
      </c>
      <c r="C18">
        <v>10.125967185516943</v>
      </c>
      <c r="D18">
        <v>34.965717185501411</v>
      </c>
      <c r="E18">
        <v>14.260336550075822</v>
      </c>
    </row>
    <row r="19" spans="1:5" x14ac:dyDescent="0.2">
      <c r="A19" s="58" t="s">
        <v>82</v>
      </c>
      <c r="B19">
        <v>20.263344418803854</v>
      </c>
      <c r="C19">
        <v>10.068865849643084</v>
      </c>
      <c r="D19">
        <v>40.170459648277244</v>
      </c>
      <c r="E19">
        <v>16.410973957491773</v>
      </c>
    </row>
    <row r="20" spans="1:5" x14ac:dyDescent="0.2">
      <c r="A20" s="58" t="s">
        <v>95</v>
      </c>
      <c r="B20">
        <v>20.724670622202737</v>
      </c>
      <c r="C20">
        <v>11.29308056429808</v>
      </c>
      <c r="D20">
        <v>52.361630612527868</v>
      </c>
      <c r="E20">
        <v>21.708888898746284</v>
      </c>
    </row>
    <row r="21" spans="1:5" x14ac:dyDescent="0.2">
      <c r="A21" s="58" t="s">
        <v>38</v>
      </c>
      <c r="B21">
        <v>21.171711485442994</v>
      </c>
      <c r="C21">
        <v>9.9423730447194103</v>
      </c>
      <c r="D21">
        <v>36.905694896018993</v>
      </c>
      <c r="E21">
        <v>18.345373498041422</v>
      </c>
    </row>
    <row r="22" spans="1:5" x14ac:dyDescent="0.2">
      <c r="A22" s="58" t="s">
        <v>110</v>
      </c>
      <c r="B22">
        <v>22.800784238304463</v>
      </c>
      <c r="C22">
        <v>11.62945768716355</v>
      </c>
      <c r="D22">
        <v>46.05295301397345</v>
      </c>
      <c r="E22">
        <v>21.712862080116022</v>
      </c>
    </row>
    <row r="23" spans="1:5" x14ac:dyDescent="0.2">
      <c r="A23" s="58" t="s">
        <v>102</v>
      </c>
      <c r="B23">
        <v>23.327752465770178</v>
      </c>
      <c r="C23">
        <v>11.940240192375777</v>
      </c>
      <c r="D23">
        <v>37.809412130934973</v>
      </c>
      <c r="E23">
        <v>15.895709263619718</v>
      </c>
    </row>
    <row r="24" spans="1:5" x14ac:dyDescent="0.2">
      <c r="A24" s="58" t="s">
        <v>99</v>
      </c>
      <c r="B24">
        <v>26.282818441947974</v>
      </c>
      <c r="C24">
        <v>10.725925391805681</v>
      </c>
      <c r="D24">
        <v>40.616480787733167</v>
      </c>
      <c r="E24">
        <v>15.903132672688056</v>
      </c>
    </row>
    <row r="25" spans="1:5" x14ac:dyDescent="0.2">
      <c r="A25" s="58" t="s">
        <v>115</v>
      </c>
      <c r="B25">
        <v>26.670330732748255</v>
      </c>
      <c r="C25">
        <v>11.109783126452673</v>
      </c>
      <c r="D25">
        <v>54.95459217033298</v>
      </c>
      <c r="E25">
        <v>20.638636135753782</v>
      </c>
    </row>
    <row r="26" spans="1:5" x14ac:dyDescent="0.2">
      <c r="A26" s="58" t="s">
        <v>32</v>
      </c>
      <c r="B26">
        <v>30.135802590700539</v>
      </c>
      <c r="C26">
        <v>22.757464026074185</v>
      </c>
      <c r="D26">
        <v>38.315398688098121</v>
      </c>
      <c r="E26">
        <v>35.778786168039659</v>
      </c>
    </row>
    <row r="27" spans="1:5" x14ac:dyDescent="0.2">
      <c r="A27" s="58" t="s">
        <v>122</v>
      </c>
      <c r="B27">
        <v>30.518330330784366</v>
      </c>
      <c r="C27">
        <v>11.703025613682765</v>
      </c>
      <c r="D27">
        <v>67.717222371003999</v>
      </c>
      <c r="E27">
        <v>26.707916084059878</v>
      </c>
    </row>
    <row r="28" spans="1:5" x14ac:dyDescent="0.2">
      <c r="A28" s="58" t="s">
        <v>109</v>
      </c>
      <c r="B28">
        <v>36.134445955083194</v>
      </c>
      <c r="C28">
        <v>15.827945783759736</v>
      </c>
      <c r="D28">
        <v>108.74907558110343</v>
      </c>
      <c r="E28">
        <v>63.021685942106252</v>
      </c>
    </row>
    <row r="29" spans="1:5" x14ac:dyDescent="0.2">
      <c r="A29" s="58" t="s">
        <v>123</v>
      </c>
      <c r="B29">
        <v>37.971078695060598</v>
      </c>
      <c r="C29">
        <v>37.971078695060598</v>
      </c>
      <c r="D29">
        <v>53.300474075777423</v>
      </c>
      <c r="E29">
        <v>61.984901426918029</v>
      </c>
    </row>
    <row r="30" spans="1:5" x14ac:dyDescent="0.2">
      <c r="A30" s="58" t="s">
        <v>81</v>
      </c>
      <c r="B30">
        <v>39.036265257542624</v>
      </c>
      <c r="C30">
        <v>28.653759112803186</v>
      </c>
      <c r="D30">
        <v>75.825836999255756</v>
      </c>
      <c r="E30">
        <v>61.777056563018498</v>
      </c>
    </row>
    <row r="31" spans="1:5" x14ac:dyDescent="0.2">
      <c r="A31" s="58" t="s">
        <v>126</v>
      </c>
      <c r="B31">
        <v>48.138349599997113</v>
      </c>
      <c r="C31">
        <v>38.043026610887082</v>
      </c>
      <c r="D31">
        <v>70.175409632025421</v>
      </c>
      <c r="E31">
        <v>59.464091896766114</v>
      </c>
    </row>
    <row r="32" spans="1:5" x14ac:dyDescent="0.2">
      <c r="A32" s="58" t="s">
        <v>107</v>
      </c>
      <c r="B32">
        <v>48.565177980752203</v>
      </c>
      <c r="C32">
        <v>17.796585079183362</v>
      </c>
      <c r="D32">
        <v>81.13704819277109</v>
      </c>
      <c r="E32">
        <v>40.044946393423409</v>
      </c>
    </row>
    <row r="33" spans="1:5" x14ac:dyDescent="0.2">
      <c r="A33" s="58" t="s">
        <v>34</v>
      </c>
      <c r="B33">
        <v>50.976301813802898</v>
      </c>
      <c r="C33">
        <v>46.606189552584176</v>
      </c>
      <c r="D33">
        <v>89.38278869745308</v>
      </c>
      <c r="E33">
        <v>107.46733363794515</v>
      </c>
    </row>
    <row r="34" spans="1:5" x14ac:dyDescent="0.2">
      <c r="A34" s="58" t="s">
        <v>41</v>
      </c>
      <c r="B34">
        <v>54.220981034011935</v>
      </c>
      <c r="C34">
        <v>35.976126215887888</v>
      </c>
      <c r="D34">
        <v>85.0406744654519</v>
      </c>
      <c r="E34">
        <v>63.026711528634763</v>
      </c>
    </row>
    <row r="35" spans="1:5" x14ac:dyDescent="0.2">
      <c r="A35" s="58" t="s">
        <v>85</v>
      </c>
      <c r="B35">
        <v>54.687031276445559</v>
      </c>
      <c r="C35">
        <v>68.105375097218044</v>
      </c>
      <c r="D35">
        <v>89.208862603998568</v>
      </c>
      <c r="E35">
        <v>140.45709927803509</v>
      </c>
    </row>
    <row r="36" spans="1:5" x14ac:dyDescent="0.2">
      <c r="A36" s="58" t="s">
        <v>93</v>
      </c>
      <c r="B36">
        <v>58.404479727653154</v>
      </c>
      <c r="C36">
        <v>65.150215606305153</v>
      </c>
      <c r="D36">
        <v>99.034506090967</v>
      </c>
      <c r="E36">
        <v>109.2552079717051</v>
      </c>
    </row>
    <row r="37" spans="1:5" x14ac:dyDescent="0.2">
      <c r="A37" s="58" t="s">
        <v>129</v>
      </c>
      <c r="B37">
        <v>61.481683445647292</v>
      </c>
      <c r="C37">
        <v>52.387478737190399</v>
      </c>
      <c r="D37">
        <v>98.570685909310285</v>
      </c>
      <c r="E37">
        <v>99.167080833965358</v>
      </c>
    </row>
    <row r="38" spans="1:5" x14ac:dyDescent="0.2">
      <c r="A38" s="58" t="s">
        <v>113</v>
      </c>
      <c r="B38">
        <v>66.907973152066205</v>
      </c>
      <c r="C38">
        <v>27.651963790650591</v>
      </c>
      <c r="D38">
        <v>95.502355615069703</v>
      </c>
      <c r="E38">
        <v>56.149260117844754</v>
      </c>
    </row>
    <row r="39" spans="1:5" x14ac:dyDescent="0.2">
      <c r="A39" s="58" t="s">
        <v>35</v>
      </c>
      <c r="B39">
        <v>70.977565457505207</v>
      </c>
      <c r="C39">
        <v>34.250951024866694</v>
      </c>
      <c r="D39">
        <v>105.0229604135551</v>
      </c>
      <c r="E39">
        <v>29.744189062096552</v>
      </c>
    </row>
    <row r="40" spans="1:5" x14ac:dyDescent="0.2">
      <c r="A40" s="58" t="s">
        <v>97</v>
      </c>
      <c r="B40">
        <v>71.395084427349857</v>
      </c>
      <c r="C40">
        <v>75.809062943200942</v>
      </c>
      <c r="D40">
        <v>94.531993139849874</v>
      </c>
      <c r="E40">
        <v>109.31631113649992</v>
      </c>
    </row>
    <row r="41" spans="1:5" x14ac:dyDescent="0.2">
      <c r="A41" s="58" t="s">
        <v>120</v>
      </c>
      <c r="B41">
        <v>76.359581101297181</v>
      </c>
      <c r="C41">
        <v>39.653370841509989</v>
      </c>
      <c r="D41">
        <v>88.839239801672463</v>
      </c>
      <c r="E41">
        <v>50.753511392526867</v>
      </c>
    </row>
    <row r="42" spans="1:5" x14ac:dyDescent="0.2">
      <c r="A42" s="58" t="s">
        <v>104</v>
      </c>
      <c r="B42">
        <v>76.700820282713082</v>
      </c>
      <c r="C42">
        <v>67.358096806710336</v>
      </c>
      <c r="D42">
        <v>128.03464769970546</v>
      </c>
      <c r="E42">
        <v>95.735780601341631</v>
      </c>
    </row>
    <row r="43" spans="1:5" x14ac:dyDescent="0.2">
      <c r="A43" s="58" t="s">
        <v>119</v>
      </c>
      <c r="B43">
        <v>84.550134704992658</v>
      </c>
      <c r="C43">
        <v>41.266981595103452</v>
      </c>
      <c r="D43">
        <v>114.24118926946967</v>
      </c>
      <c r="E43">
        <v>80.495997456121557</v>
      </c>
    </row>
    <row r="44" spans="1:5" x14ac:dyDescent="0.2">
      <c r="A44" s="58" t="s">
        <v>94</v>
      </c>
      <c r="B44">
        <v>96.228475202574387</v>
      </c>
      <c r="C44">
        <v>79.494519699284425</v>
      </c>
      <c r="D44">
        <v>146.2062800653438</v>
      </c>
      <c r="E44">
        <v>96.642271588348734</v>
      </c>
    </row>
    <row r="45" spans="1:5" x14ac:dyDescent="0.2">
      <c r="A45" s="58" t="s">
        <v>98</v>
      </c>
      <c r="B45">
        <v>102.73393243680358</v>
      </c>
      <c r="C45">
        <v>58.682970649322307</v>
      </c>
      <c r="D45">
        <v>136.32531090551313</v>
      </c>
      <c r="E45">
        <v>72.271106621752324</v>
      </c>
    </row>
    <row r="46" spans="1:5" x14ac:dyDescent="0.2">
      <c r="A46" s="59" t="s">
        <v>100</v>
      </c>
      <c r="B46">
        <v>123.328816496759</v>
      </c>
      <c r="C46">
        <v>73.323907192401307</v>
      </c>
      <c r="D46">
        <v>235.91427752511979</v>
      </c>
      <c r="E46">
        <v>108.50305617767823</v>
      </c>
    </row>
    <row r="47" spans="1:5" x14ac:dyDescent="0.2">
      <c r="A47" s="58" t="s">
        <v>130</v>
      </c>
      <c r="B47">
        <v>129.59273232802073</v>
      </c>
      <c r="C47">
        <v>88.495958166023939</v>
      </c>
      <c r="D47">
        <v>180.16447479192436</v>
      </c>
      <c r="E47">
        <v>145.97025134737552</v>
      </c>
    </row>
    <row r="48" spans="1:5" x14ac:dyDescent="0.2">
      <c r="A48" s="58" t="s">
        <v>92</v>
      </c>
      <c r="B48">
        <v>144.82687419880787</v>
      </c>
      <c r="C48">
        <v>54.600184981795337</v>
      </c>
      <c r="D48">
        <v>212.0347829731266</v>
      </c>
      <c r="E48">
        <v>85.95075340488755</v>
      </c>
    </row>
    <row r="49" spans="1:5" x14ac:dyDescent="0.2">
      <c r="A49" s="58" t="s">
        <v>128</v>
      </c>
      <c r="B49">
        <v>147.77768879363768</v>
      </c>
      <c r="C49">
        <v>95.118751447703644</v>
      </c>
      <c r="D49">
        <v>244.31314985085547</v>
      </c>
      <c r="E49">
        <v>160.64290370465775</v>
      </c>
    </row>
    <row r="50" spans="1:5" x14ac:dyDescent="0.2">
      <c r="A50" s="58" t="s">
        <v>22</v>
      </c>
      <c r="B50">
        <v>173.53672775147066</v>
      </c>
      <c r="C50">
        <v>108.24471994457679</v>
      </c>
      <c r="D50">
        <v>175.71523773596516</v>
      </c>
      <c r="E50">
        <v>191.65551369001395</v>
      </c>
    </row>
    <row r="51" spans="1:5" x14ac:dyDescent="0.2">
      <c r="A51" s="58" t="s">
        <v>118</v>
      </c>
      <c r="B51">
        <v>176.87079666966596</v>
      </c>
      <c r="C51">
        <v>119.39658298747455</v>
      </c>
      <c r="D51">
        <v>236.53897127405278</v>
      </c>
      <c r="E51">
        <v>170.63538466623513</v>
      </c>
    </row>
    <row r="52" spans="1:5" x14ac:dyDescent="0.2">
      <c r="A52" s="58" t="s">
        <v>42</v>
      </c>
      <c r="B52">
        <v>184.06352230161789</v>
      </c>
      <c r="C52">
        <v>69.680334623298833</v>
      </c>
      <c r="D52">
        <v>227.00688534967605</v>
      </c>
      <c r="E52">
        <v>97.369136932392664</v>
      </c>
    </row>
    <row r="53" spans="1:5" x14ac:dyDescent="0.2">
      <c r="A53" s="58" t="s">
        <v>40</v>
      </c>
      <c r="B53">
        <v>220.02850668641761</v>
      </c>
      <c r="C53">
        <v>164.03951253739021</v>
      </c>
      <c r="D53">
        <v>270.88549296024763</v>
      </c>
      <c r="E53">
        <v>192.97232787886273</v>
      </c>
    </row>
    <row r="54" spans="1:5" x14ac:dyDescent="0.2">
      <c r="A54" s="58" t="s">
        <v>155</v>
      </c>
      <c r="B54">
        <v>250.14920532851258</v>
      </c>
      <c r="C54">
        <v>139.40073759120409</v>
      </c>
      <c r="D54">
        <v>277.2472744626873</v>
      </c>
      <c r="E54">
        <v>150.98185446459098</v>
      </c>
    </row>
    <row r="55" spans="1:5" x14ac:dyDescent="0.2">
      <c r="A55" s="58" t="s">
        <v>83</v>
      </c>
      <c r="B55">
        <v>343.39585902204345</v>
      </c>
      <c r="C55">
        <v>158.70373406676705</v>
      </c>
      <c r="D55">
        <v>351.85332684031721</v>
      </c>
      <c r="E55">
        <v>161.56918973786196</v>
      </c>
    </row>
    <row r="58" spans="1:5" x14ac:dyDescent="0.2">
      <c r="A58" s="60" t="s">
        <v>403</v>
      </c>
    </row>
    <row r="59" spans="1:5" x14ac:dyDescent="0.2">
      <c r="A59" t="s">
        <v>406</v>
      </c>
    </row>
  </sheetData>
  <phoneticPr fontId="7" type="noConversion"/>
  <conditionalFormatting sqref="A9">
    <cfRule type="expression" dxfId="3" priority="1">
      <formula>A$9=2</formula>
    </cfRule>
    <cfRule type="expression" dxfId="2" priority="2">
      <formula>A$9=3</formula>
    </cfRule>
    <cfRule type="expression" dxfId="1" priority="3">
      <formula>A$9=4</formula>
    </cfRule>
    <cfRule type="expression" dxfId="0" priority="4">
      <formula>A$9=1</formula>
    </cfRule>
  </conditionalFormatting>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
  <sheetViews>
    <sheetView topLeftCell="A21" zoomScaleNormal="70" zoomScalePageLayoutView="70" workbookViewId="0"/>
  </sheetViews>
  <sheetFormatPr baseColWidth="10" defaultColWidth="11.5" defaultRowHeight="15" x14ac:dyDescent="0.2"/>
  <sheetData>
    <row r="1" spans="1:2" x14ac:dyDescent="0.2">
      <c r="A1" s="64" t="s">
        <v>26</v>
      </c>
    </row>
    <row r="2" spans="1:2" x14ac:dyDescent="0.2">
      <c r="A2" s="23" t="s">
        <v>364</v>
      </c>
    </row>
    <row r="4" spans="1:2" x14ac:dyDescent="0.2">
      <c r="A4" s="65" t="s">
        <v>88</v>
      </c>
      <c r="B4" s="66" t="s">
        <v>365</v>
      </c>
    </row>
    <row r="5" spans="1:2" x14ac:dyDescent="0.2">
      <c r="A5" s="67" t="s">
        <v>40</v>
      </c>
      <c r="B5" s="68">
        <v>27.9</v>
      </c>
    </row>
    <row r="6" spans="1:2" x14ac:dyDescent="0.2">
      <c r="A6" s="67" t="s">
        <v>22</v>
      </c>
      <c r="B6" s="68">
        <v>36.299999999999997</v>
      </c>
    </row>
    <row r="7" spans="1:2" x14ac:dyDescent="0.2">
      <c r="A7" s="67" t="s">
        <v>123</v>
      </c>
      <c r="B7" s="68">
        <v>39.4</v>
      </c>
    </row>
    <row r="8" spans="1:2" x14ac:dyDescent="0.2">
      <c r="A8" s="67" t="s">
        <v>85</v>
      </c>
      <c r="B8" s="68">
        <v>40.200000000000003</v>
      </c>
    </row>
    <row r="9" spans="1:2" x14ac:dyDescent="0.2">
      <c r="A9" s="67" t="s">
        <v>93</v>
      </c>
      <c r="B9" s="68">
        <v>45.8</v>
      </c>
    </row>
    <row r="10" spans="1:2" x14ac:dyDescent="0.2">
      <c r="A10" s="67" t="s">
        <v>83</v>
      </c>
      <c r="B10" s="68">
        <v>48</v>
      </c>
    </row>
    <row r="11" spans="1:2" x14ac:dyDescent="0.2">
      <c r="A11" s="67" t="s">
        <v>118</v>
      </c>
      <c r="B11" s="68">
        <v>51</v>
      </c>
    </row>
    <row r="12" spans="1:2" x14ac:dyDescent="0.2">
      <c r="A12" s="67" t="s">
        <v>100</v>
      </c>
      <c r="B12" s="68">
        <v>51.1</v>
      </c>
    </row>
    <row r="13" spans="1:2" x14ac:dyDescent="0.2">
      <c r="A13" s="67" t="s">
        <v>94</v>
      </c>
      <c r="B13" s="68">
        <v>53.4</v>
      </c>
    </row>
    <row r="14" spans="1:2" x14ac:dyDescent="0.2">
      <c r="A14" s="67" t="s">
        <v>98</v>
      </c>
      <c r="B14" s="69">
        <v>54.9</v>
      </c>
    </row>
    <row r="15" spans="1:2" x14ac:dyDescent="0.2">
      <c r="A15" s="67" t="s">
        <v>117</v>
      </c>
      <c r="B15" s="68">
        <v>62.7</v>
      </c>
    </row>
    <row r="16" spans="1:2" x14ac:dyDescent="0.2">
      <c r="A16" s="67" t="s">
        <v>120</v>
      </c>
      <c r="B16" s="68">
        <v>62.9</v>
      </c>
    </row>
    <row r="17" spans="1:2" x14ac:dyDescent="0.2">
      <c r="A17" s="67" t="s">
        <v>92</v>
      </c>
      <c r="B17" s="68">
        <v>63.1</v>
      </c>
    </row>
    <row r="18" spans="1:2" x14ac:dyDescent="0.2">
      <c r="A18" s="67" t="s">
        <v>109</v>
      </c>
      <c r="B18" s="68">
        <v>63.4</v>
      </c>
    </row>
    <row r="19" spans="1:2" x14ac:dyDescent="0.2">
      <c r="A19" s="67" t="s">
        <v>115</v>
      </c>
      <c r="B19" s="68">
        <v>64.8</v>
      </c>
    </row>
    <row r="20" spans="1:2" x14ac:dyDescent="0.2">
      <c r="A20" s="67" t="s">
        <v>155</v>
      </c>
      <c r="B20" s="68">
        <v>64.900000000000006</v>
      </c>
    </row>
    <row r="21" spans="1:2" x14ac:dyDescent="0.2">
      <c r="A21" s="67" t="s">
        <v>42</v>
      </c>
      <c r="B21" s="68">
        <v>65.400000000000006</v>
      </c>
    </row>
    <row r="22" spans="1:2" x14ac:dyDescent="0.2">
      <c r="A22" s="67" t="s">
        <v>37</v>
      </c>
      <c r="B22" s="68">
        <v>65.7</v>
      </c>
    </row>
    <row r="23" spans="1:2" x14ac:dyDescent="0.2">
      <c r="A23" s="67" t="s">
        <v>82</v>
      </c>
      <c r="B23" s="68">
        <v>66.2</v>
      </c>
    </row>
    <row r="24" spans="1:2" x14ac:dyDescent="0.2">
      <c r="A24" s="67" t="s">
        <v>119</v>
      </c>
      <c r="B24" s="68">
        <v>67.8</v>
      </c>
    </row>
    <row r="25" spans="1:2" x14ac:dyDescent="0.2">
      <c r="A25" s="67" t="s">
        <v>128</v>
      </c>
      <c r="B25" s="68">
        <v>67.8</v>
      </c>
    </row>
    <row r="26" spans="1:2" x14ac:dyDescent="0.2">
      <c r="A26" s="67" t="s">
        <v>130</v>
      </c>
      <c r="B26" s="68">
        <v>68</v>
      </c>
    </row>
    <row r="27" spans="1:2" x14ac:dyDescent="0.2">
      <c r="A27" s="67" t="s">
        <v>124</v>
      </c>
      <c r="B27" s="68">
        <v>69</v>
      </c>
    </row>
    <row r="28" spans="1:2" x14ac:dyDescent="0.2">
      <c r="A28" s="67" t="s">
        <v>104</v>
      </c>
      <c r="B28" s="68">
        <v>69.2</v>
      </c>
    </row>
    <row r="29" spans="1:2" x14ac:dyDescent="0.2">
      <c r="A29" s="70" t="s">
        <v>97</v>
      </c>
      <c r="B29" s="68">
        <v>69.3</v>
      </c>
    </row>
    <row r="30" spans="1:2" x14ac:dyDescent="0.2">
      <c r="A30" s="67" t="s">
        <v>99</v>
      </c>
      <c r="B30" s="68">
        <v>69.599999999999994</v>
      </c>
    </row>
    <row r="31" spans="1:2" x14ac:dyDescent="0.2">
      <c r="A31" s="67" t="s">
        <v>129</v>
      </c>
      <c r="B31" s="68">
        <v>69.8</v>
      </c>
    </row>
    <row r="32" spans="1:2" x14ac:dyDescent="0.2">
      <c r="A32" s="67" t="s">
        <v>102</v>
      </c>
      <c r="B32" s="68">
        <v>70.400000000000006</v>
      </c>
    </row>
    <row r="33" spans="1:2" x14ac:dyDescent="0.2">
      <c r="A33" s="67" t="s">
        <v>126</v>
      </c>
      <c r="B33" s="68">
        <v>72.7</v>
      </c>
    </row>
    <row r="34" spans="1:2" x14ac:dyDescent="0.2">
      <c r="A34" s="67" t="s">
        <v>41</v>
      </c>
      <c r="B34" s="68">
        <v>73</v>
      </c>
    </row>
    <row r="35" spans="1:2" x14ac:dyDescent="0.2">
      <c r="A35" s="67" t="s">
        <v>38</v>
      </c>
      <c r="B35" s="68">
        <v>75.2</v>
      </c>
    </row>
    <row r="36" spans="1:2" x14ac:dyDescent="0.2">
      <c r="A36" s="67" t="s">
        <v>32</v>
      </c>
      <c r="B36" s="68">
        <v>76.2</v>
      </c>
    </row>
    <row r="37" spans="1:2" x14ac:dyDescent="0.2">
      <c r="A37" s="67" t="s">
        <v>111</v>
      </c>
      <c r="B37" s="68">
        <v>76.400000000000006</v>
      </c>
    </row>
    <row r="38" spans="1:2" x14ac:dyDescent="0.2">
      <c r="A38" s="67" t="s">
        <v>108</v>
      </c>
      <c r="B38" s="68">
        <v>76.5</v>
      </c>
    </row>
    <row r="39" spans="1:2" x14ac:dyDescent="0.2">
      <c r="A39" s="67" t="s">
        <v>36</v>
      </c>
      <c r="B39" s="68">
        <v>78.900000000000006</v>
      </c>
    </row>
    <row r="40" spans="1:2" x14ac:dyDescent="0.2">
      <c r="A40" s="67" t="s">
        <v>35</v>
      </c>
      <c r="B40" s="68">
        <v>79.8</v>
      </c>
    </row>
    <row r="41" spans="1:2" x14ac:dyDescent="0.2">
      <c r="A41" s="67" t="s">
        <v>113</v>
      </c>
      <c r="B41" s="68">
        <v>80.599999999999994</v>
      </c>
    </row>
    <row r="42" spans="1:2" x14ac:dyDescent="0.2">
      <c r="A42" s="67" t="s">
        <v>39</v>
      </c>
      <c r="B42" s="68">
        <v>82</v>
      </c>
    </row>
    <row r="43" spans="1:2" x14ac:dyDescent="0.2">
      <c r="A43" s="67" t="s">
        <v>95</v>
      </c>
      <c r="B43" s="68">
        <v>84</v>
      </c>
    </row>
    <row r="44" spans="1:2" x14ac:dyDescent="0.2">
      <c r="A44" s="67" t="s">
        <v>122</v>
      </c>
      <c r="B44" s="68">
        <v>85.8</v>
      </c>
    </row>
    <row r="45" spans="1:2" x14ac:dyDescent="0.2">
      <c r="A45" s="67" t="s">
        <v>107</v>
      </c>
      <c r="B45" s="68">
        <v>86.3</v>
      </c>
    </row>
    <row r="46" spans="1:2" x14ac:dyDescent="0.2">
      <c r="A46" s="67" t="s">
        <v>127</v>
      </c>
      <c r="B46" s="68">
        <v>86.8</v>
      </c>
    </row>
    <row r="47" spans="1:2" x14ac:dyDescent="0.2">
      <c r="A47" s="67" t="s">
        <v>125</v>
      </c>
      <c r="B47" s="68">
        <v>88.4</v>
      </c>
    </row>
    <row r="51" spans="1:2" x14ac:dyDescent="0.2">
      <c r="A51" s="3" t="s">
        <v>323</v>
      </c>
      <c r="B51" t="s">
        <v>364</v>
      </c>
    </row>
    <row r="52" spans="1:2" x14ac:dyDescent="0.2">
      <c r="A52" t="s">
        <v>404</v>
      </c>
    </row>
  </sheetData>
  <phoneticPr fontId="7" type="noConversion"/>
  <hyperlinks>
    <hyperlink ref="A1" r:id="rId1"/>
    <hyperlink ref="A2" r:id="rId2"/>
  </hyperlinks>
  <pageMargins left="0.7" right="0.7" top="0.75" bottom="0.75" header="0.3" footer="0.3"/>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
  <sheetViews>
    <sheetView zoomScale="125" zoomScaleNormal="70" zoomScalePageLayoutView="70" workbookViewId="0">
      <selection activeCell="J52" sqref="J52"/>
    </sheetView>
  </sheetViews>
  <sheetFormatPr baseColWidth="10" defaultColWidth="11.5" defaultRowHeight="15" x14ac:dyDescent="0.2"/>
  <cols>
    <col min="1" max="1" width="18.6640625" customWidth="1"/>
  </cols>
  <sheetData>
    <row r="1" spans="1:2" x14ac:dyDescent="0.2">
      <c r="A1" s="3" t="s">
        <v>27</v>
      </c>
    </row>
    <row r="2" spans="1:2" x14ac:dyDescent="0.2">
      <c r="A2" t="s">
        <v>362</v>
      </c>
    </row>
    <row r="3" spans="1:2" s="61" customFormat="1" x14ac:dyDescent="0.2"/>
    <row r="4" spans="1:2" x14ac:dyDescent="0.2">
      <c r="A4" s="62" t="s">
        <v>88</v>
      </c>
      <c r="B4" s="63" t="s">
        <v>363</v>
      </c>
    </row>
    <row r="5" spans="1:2" x14ac:dyDescent="0.2">
      <c r="A5" s="60" t="s">
        <v>97</v>
      </c>
      <c r="B5" s="42">
        <v>10.199999999999999</v>
      </c>
    </row>
    <row r="6" spans="1:2" x14ac:dyDescent="0.2">
      <c r="A6" s="60" t="s">
        <v>93</v>
      </c>
      <c r="B6" s="42">
        <v>12</v>
      </c>
    </row>
    <row r="7" spans="1:2" x14ac:dyDescent="0.2">
      <c r="A7" s="60" t="s">
        <v>85</v>
      </c>
      <c r="B7" s="42">
        <v>12.8</v>
      </c>
    </row>
    <row r="8" spans="1:2" x14ac:dyDescent="0.2">
      <c r="A8" s="60" t="s">
        <v>100</v>
      </c>
      <c r="B8" s="42">
        <v>13.2</v>
      </c>
    </row>
    <row r="9" spans="1:2" x14ac:dyDescent="0.2">
      <c r="A9" s="60" t="s">
        <v>123</v>
      </c>
      <c r="B9" s="42">
        <v>17.2</v>
      </c>
    </row>
    <row r="10" spans="1:2" x14ac:dyDescent="0.2">
      <c r="A10" s="60" t="s">
        <v>34</v>
      </c>
      <c r="B10" s="42">
        <v>21.5</v>
      </c>
    </row>
    <row r="11" spans="1:2" x14ac:dyDescent="0.2">
      <c r="A11" s="60" t="s">
        <v>40</v>
      </c>
      <c r="B11" s="42">
        <v>25.7</v>
      </c>
    </row>
    <row r="12" spans="1:2" x14ac:dyDescent="0.2">
      <c r="A12" s="60" t="s">
        <v>98</v>
      </c>
      <c r="B12" s="42">
        <v>26</v>
      </c>
    </row>
    <row r="13" spans="1:2" x14ac:dyDescent="0.2">
      <c r="A13" s="60" t="s">
        <v>126</v>
      </c>
      <c r="B13" s="42">
        <v>28</v>
      </c>
    </row>
    <row r="14" spans="1:2" x14ac:dyDescent="0.2">
      <c r="A14" s="60" t="s">
        <v>22</v>
      </c>
      <c r="B14" s="42">
        <v>33.5</v>
      </c>
    </row>
    <row r="15" spans="1:2" x14ac:dyDescent="0.2">
      <c r="A15" s="60" t="s">
        <v>94</v>
      </c>
      <c r="B15" s="42">
        <v>34.700000000000003</v>
      </c>
    </row>
    <row r="16" spans="1:2" x14ac:dyDescent="0.2">
      <c r="A16" s="60" t="s">
        <v>104</v>
      </c>
      <c r="B16" s="42">
        <v>40.1</v>
      </c>
    </row>
    <row r="17" spans="1:2" x14ac:dyDescent="0.2">
      <c r="A17" s="60" t="s">
        <v>117</v>
      </c>
      <c r="B17" s="42">
        <v>40.6</v>
      </c>
    </row>
    <row r="18" spans="1:2" x14ac:dyDescent="0.2">
      <c r="A18" s="60" t="s">
        <v>128</v>
      </c>
      <c r="B18" s="42">
        <v>42.6</v>
      </c>
    </row>
    <row r="19" spans="1:2" x14ac:dyDescent="0.2">
      <c r="A19" s="60" t="s">
        <v>32</v>
      </c>
      <c r="B19" s="42">
        <v>45.9</v>
      </c>
    </row>
    <row r="20" spans="1:2" x14ac:dyDescent="0.2">
      <c r="A20" s="60" t="s">
        <v>122</v>
      </c>
      <c r="B20" s="42">
        <v>46</v>
      </c>
    </row>
    <row r="21" spans="1:2" x14ac:dyDescent="0.2">
      <c r="A21" s="60" t="s">
        <v>41</v>
      </c>
      <c r="B21" s="42">
        <v>46</v>
      </c>
    </row>
    <row r="22" spans="1:2" x14ac:dyDescent="0.2">
      <c r="A22" s="60" t="s">
        <v>83</v>
      </c>
      <c r="B22" s="42">
        <v>46</v>
      </c>
    </row>
    <row r="23" spans="1:2" x14ac:dyDescent="0.2">
      <c r="A23" s="60" t="s">
        <v>42</v>
      </c>
      <c r="B23" s="42">
        <v>47</v>
      </c>
    </row>
    <row r="24" spans="1:2" x14ac:dyDescent="0.2">
      <c r="A24" s="60" t="s">
        <v>118</v>
      </c>
      <c r="B24" s="42">
        <v>49.5</v>
      </c>
    </row>
    <row r="25" spans="1:2" x14ac:dyDescent="0.2">
      <c r="A25" s="60" t="s">
        <v>120</v>
      </c>
      <c r="B25" s="42">
        <v>50.4</v>
      </c>
    </row>
    <row r="26" spans="1:2" x14ac:dyDescent="0.2">
      <c r="A26" s="60" t="s">
        <v>129</v>
      </c>
      <c r="B26" s="42">
        <v>50.5</v>
      </c>
    </row>
    <row r="27" spans="1:2" x14ac:dyDescent="0.2">
      <c r="A27" s="60" t="s">
        <v>130</v>
      </c>
      <c r="B27" s="42">
        <v>55</v>
      </c>
    </row>
    <row r="28" spans="1:2" x14ac:dyDescent="0.2">
      <c r="A28" s="60" t="s">
        <v>119</v>
      </c>
      <c r="B28" s="42">
        <v>55.5</v>
      </c>
    </row>
    <row r="29" spans="1:2" x14ac:dyDescent="0.2">
      <c r="A29" s="60" t="s">
        <v>92</v>
      </c>
      <c r="B29" s="42">
        <v>56</v>
      </c>
    </row>
    <row r="30" spans="1:2" x14ac:dyDescent="0.2">
      <c r="A30" s="60" t="s">
        <v>109</v>
      </c>
      <c r="B30" s="42">
        <v>57.9</v>
      </c>
    </row>
    <row r="31" spans="1:2" x14ac:dyDescent="0.2">
      <c r="A31" s="60" t="s">
        <v>155</v>
      </c>
      <c r="B31" s="42">
        <v>59.3</v>
      </c>
    </row>
    <row r="32" spans="1:2" x14ac:dyDescent="0.2">
      <c r="A32" s="60" t="s">
        <v>115</v>
      </c>
      <c r="B32" s="42">
        <v>61.4</v>
      </c>
    </row>
    <row r="33" spans="1:2" x14ac:dyDescent="0.2">
      <c r="A33" s="60" t="s">
        <v>82</v>
      </c>
      <c r="B33" s="42">
        <v>61.6</v>
      </c>
    </row>
    <row r="34" spans="1:2" x14ac:dyDescent="0.2">
      <c r="A34" s="60" t="s">
        <v>37</v>
      </c>
      <c r="B34" s="42">
        <v>62.3</v>
      </c>
    </row>
    <row r="35" spans="1:2" x14ac:dyDescent="0.2">
      <c r="A35" s="60" t="s">
        <v>36</v>
      </c>
      <c r="B35" s="42">
        <v>63.2</v>
      </c>
    </row>
    <row r="36" spans="1:2" x14ac:dyDescent="0.2">
      <c r="A36" s="60" t="s">
        <v>38</v>
      </c>
      <c r="B36" s="42">
        <v>64.8</v>
      </c>
    </row>
    <row r="37" spans="1:2" x14ac:dyDescent="0.2">
      <c r="A37" s="60" t="s">
        <v>35</v>
      </c>
      <c r="B37" s="42">
        <v>65.599999999999994</v>
      </c>
    </row>
    <row r="38" spans="1:2" x14ac:dyDescent="0.2">
      <c r="A38" s="60" t="s">
        <v>124</v>
      </c>
      <c r="B38" s="42">
        <v>67</v>
      </c>
    </row>
    <row r="39" spans="1:2" x14ac:dyDescent="0.2">
      <c r="A39" s="60" t="s">
        <v>99</v>
      </c>
      <c r="B39" s="42">
        <v>67.599999999999994</v>
      </c>
    </row>
    <row r="40" spans="1:2" x14ac:dyDescent="0.2">
      <c r="A40" s="60" t="s">
        <v>102</v>
      </c>
      <c r="B40" s="42">
        <v>69.099999999999994</v>
      </c>
    </row>
    <row r="41" spans="1:2" x14ac:dyDescent="0.2">
      <c r="A41" s="60" t="s">
        <v>113</v>
      </c>
      <c r="B41" s="42">
        <v>71.3</v>
      </c>
    </row>
    <row r="42" spans="1:2" x14ac:dyDescent="0.2">
      <c r="A42" s="60" t="s">
        <v>111</v>
      </c>
      <c r="B42" s="42">
        <v>74.099999999999994</v>
      </c>
    </row>
    <row r="43" spans="1:2" x14ac:dyDescent="0.2">
      <c r="A43" s="60" t="s">
        <v>39</v>
      </c>
      <c r="B43" s="42">
        <v>77.5</v>
      </c>
    </row>
    <row r="44" spans="1:2" x14ac:dyDescent="0.2">
      <c r="A44" s="60" t="s">
        <v>107</v>
      </c>
      <c r="B44" s="42">
        <v>77.599999999999994</v>
      </c>
    </row>
    <row r="45" spans="1:2" x14ac:dyDescent="0.2">
      <c r="A45" s="60" t="s">
        <v>125</v>
      </c>
      <c r="B45" s="42">
        <v>82.2</v>
      </c>
    </row>
    <row r="46" spans="1:2" x14ac:dyDescent="0.2">
      <c r="A46" s="60" t="s">
        <v>95</v>
      </c>
      <c r="B46" s="42">
        <v>84</v>
      </c>
    </row>
    <row r="47" spans="1:2" x14ac:dyDescent="0.2">
      <c r="A47" s="60"/>
      <c r="B47" s="42"/>
    </row>
    <row r="49" spans="1:2" x14ac:dyDescent="0.2">
      <c r="A49" s="3" t="s">
        <v>323</v>
      </c>
      <c r="B49" s="23" t="s">
        <v>364</v>
      </c>
    </row>
    <row r="50" spans="1:2" x14ac:dyDescent="0.2">
      <c r="A50" t="s">
        <v>404</v>
      </c>
    </row>
  </sheetData>
  <phoneticPr fontId="7" type="noConversion"/>
  <hyperlinks>
    <hyperlink ref="B49" r:id="rId1"/>
  </hyperlinks>
  <pageMargins left="0.7" right="0.7" top="0.75" bottom="0.75" header="0.3" footer="0.3"/>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topLeftCell="A13" zoomScale="125" zoomScaleNormal="70" zoomScalePageLayoutView="70" workbookViewId="0">
      <selection activeCell="A36" sqref="A36"/>
    </sheetView>
  </sheetViews>
  <sheetFormatPr baseColWidth="10" defaultColWidth="11.5" defaultRowHeight="15" x14ac:dyDescent="0.2"/>
  <sheetData>
    <row r="1" spans="1:2" x14ac:dyDescent="0.2">
      <c r="A1" s="64" t="s">
        <v>595</v>
      </c>
    </row>
    <row r="2" spans="1:2" x14ac:dyDescent="0.2">
      <c r="A2" t="s">
        <v>364</v>
      </c>
    </row>
    <row r="4" spans="1:2" x14ac:dyDescent="0.2">
      <c r="A4" s="62" t="s">
        <v>88</v>
      </c>
      <c r="B4" s="63" t="s">
        <v>363</v>
      </c>
    </row>
    <row r="5" spans="1:2" x14ac:dyDescent="0.2">
      <c r="A5" s="60" t="s">
        <v>111</v>
      </c>
      <c r="B5" s="71">
        <v>1.7</v>
      </c>
    </row>
    <row r="6" spans="1:2" x14ac:dyDescent="0.2">
      <c r="A6" s="60" t="s">
        <v>102</v>
      </c>
      <c r="B6" s="71">
        <v>3.4</v>
      </c>
    </row>
    <row r="7" spans="1:2" x14ac:dyDescent="0.2">
      <c r="A7" s="60" t="s">
        <v>107</v>
      </c>
      <c r="B7" s="71">
        <v>4.3</v>
      </c>
    </row>
    <row r="8" spans="1:2" x14ac:dyDescent="0.2">
      <c r="A8" s="60" t="s">
        <v>42</v>
      </c>
      <c r="B8" s="71">
        <v>4.9000000000000004</v>
      </c>
    </row>
    <row r="9" spans="1:2" x14ac:dyDescent="0.2">
      <c r="A9" s="60" t="s">
        <v>41</v>
      </c>
      <c r="B9" s="71">
        <v>6.2</v>
      </c>
    </row>
    <row r="10" spans="1:2" x14ac:dyDescent="0.2">
      <c r="A10" s="60" t="s">
        <v>34</v>
      </c>
      <c r="B10" s="71">
        <v>6.6</v>
      </c>
    </row>
    <row r="11" spans="1:2" x14ac:dyDescent="0.2">
      <c r="A11" s="60" t="s">
        <v>92</v>
      </c>
      <c r="B11" s="71">
        <v>7</v>
      </c>
    </row>
    <row r="12" spans="1:2" x14ac:dyDescent="0.2">
      <c r="A12" s="60" t="s">
        <v>113</v>
      </c>
      <c r="B12" s="71">
        <v>7</v>
      </c>
    </row>
    <row r="13" spans="1:2" x14ac:dyDescent="0.2">
      <c r="A13" s="60" t="s">
        <v>130</v>
      </c>
      <c r="B13" s="71">
        <v>8</v>
      </c>
    </row>
    <row r="14" spans="1:2" x14ac:dyDescent="0.2">
      <c r="A14" s="60" t="s">
        <v>93</v>
      </c>
      <c r="B14" s="71">
        <v>9</v>
      </c>
    </row>
    <row r="15" spans="1:2" x14ac:dyDescent="0.2">
      <c r="A15" s="60" t="s">
        <v>36</v>
      </c>
      <c r="B15" s="71">
        <v>9.1999999999999993</v>
      </c>
    </row>
    <row r="16" spans="1:2" x14ac:dyDescent="0.2">
      <c r="A16" s="60" t="s">
        <v>128</v>
      </c>
      <c r="B16" s="71">
        <v>11.4</v>
      </c>
    </row>
    <row r="17" spans="1:2" x14ac:dyDescent="0.2">
      <c r="A17" s="60" t="s">
        <v>118</v>
      </c>
      <c r="B17" s="71">
        <v>11.6</v>
      </c>
    </row>
    <row r="18" spans="1:2" x14ac:dyDescent="0.2">
      <c r="A18" s="60" t="s">
        <v>117</v>
      </c>
      <c r="B18" s="71">
        <v>11.8</v>
      </c>
    </row>
    <row r="19" spans="1:2" x14ac:dyDescent="0.2">
      <c r="A19" s="60" t="s">
        <v>37</v>
      </c>
      <c r="B19" s="71">
        <v>11.8</v>
      </c>
    </row>
    <row r="20" spans="1:2" x14ac:dyDescent="0.2">
      <c r="A20" s="60" t="s">
        <v>129</v>
      </c>
      <c r="B20" s="71">
        <v>11.9</v>
      </c>
    </row>
    <row r="21" spans="1:2" x14ac:dyDescent="0.2">
      <c r="A21" s="60" t="s">
        <v>94</v>
      </c>
      <c r="B21" s="71">
        <v>12.3</v>
      </c>
    </row>
    <row r="22" spans="1:2" x14ac:dyDescent="0.2">
      <c r="A22" s="60" t="s">
        <v>97</v>
      </c>
      <c r="B22" s="71">
        <v>12.9</v>
      </c>
    </row>
    <row r="23" spans="1:2" x14ac:dyDescent="0.2">
      <c r="A23" s="60" t="s">
        <v>83</v>
      </c>
      <c r="B23" s="71">
        <v>13.1</v>
      </c>
    </row>
    <row r="24" spans="1:2" x14ac:dyDescent="0.2">
      <c r="A24" s="60" t="s">
        <v>98</v>
      </c>
      <c r="B24" s="71">
        <v>13.5</v>
      </c>
    </row>
    <row r="25" spans="1:2" x14ac:dyDescent="0.2">
      <c r="A25" s="60" t="s">
        <v>155</v>
      </c>
      <c r="B25" s="71">
        <v>13.7</v>
      </c>
    </row>
    <row r="26" spans="1:2" x14ac:dyDescent="0.2">
      <c r="A26" s="60" t="s">
        <v>100</v>
      </c>
      <c r="B26" s="71">
        <v>15.4</v>
      </c>
    </row>
    <row r="27" spans="1:2" x14ac:dyDescent="0.2">
      <c r="A27" s="186" t="s">
        <v>220</v>
      </c>
      <c r="B27" s="71">
        <v>15.6</v>
      </c>
    </row>
    <row r="28" spans="1:2" x14ac:dyDescent="0.2">
      <c r="A28" s="60" t="s">
        <v>119</v>
      </c>
      <c r="B28" s="71">
        <v>16.8</v>
      </c>
    </row>
    <row r="29" spans="1:2" x14ac:dyDescent="0.2">
      <c r="A29" s="60" t="s">
        <v>512</v>
      </c>
      <c r="B29" s="71">
        <v>17.2</v>
      </c>
    </row>
    <row r="30" spans="1:2" x14ac:dyDescent="0.2">
      <c r="A30" s="60" t="s">
        <v>22</v>
      </c>
      <c r="B30" s="71">
        <v>18</v>
      </c>
    </row>
    <row r="31" spans="1:2" x14ac:dyDescent="0.2">
      <c r="A31" s="60" t="s">
        <v>120</v>
      </c>
      <c r="B31" s="71">
        <v>18</v>
      </c>
    </row>
    <row r="32" spans="1:2" x14ac:dyDescent="0.2">
      <c r="A32" s="60" t="s">
        <v>40</v>
      </c>
      <c r="B32" s="71">
        <v>22.9</v>
      </c>
    </row>
    <row r="33" spans="1:2" x14ac:dyDescent="0.2">
      <c r="A33" s="60" t="s">
        <v>104</v>
      </c>
      <c r="B33" s="71">
        <v>29.7</v>
      </c>
    </row>
    <row r="36" spans="1:2" x14ac:dyDescent="0.2">
      <c r="A36" t="s">
        <v>535</v>
      </c>
    </row>
    <row r="37" spans="1:2" x14ac:dyDescent="0.2">
      <c r="A37" s="5" t="s">
        <v>596</v>
      </c>
    </row>
    <row r="38" spans="1:2" s="181" customFormat="1" x14ac:dyDescent="0.2">
      <c r="A38" s="5"/>
    </row>
    <row r="39" spans="1:2" s="181" customFormat="1" x14ac:dyDescent="0.2">
      <c r="A39" s="5"/>
    </row>
    <row r="40" spans="1:2" s="181" customFormat="1" x14ac:dyDescent="0.2">
      <c r="A40" s="5" t="s">
        <v>364</v>
      </c>
    </row>
    <row r="41" spans="1:2" x14ac:dyDescent="0.2">
      <c r="A41" t="s">
        <v>404</v>
      </c>
    </row>
  </sheetData>
  <phoneticPr fontId="7" type="noConversion"/>
  <hyperlinks>
    <hyperlink ref="A1" r:id="rId1" display="Figure 27c. Unmet need for family planning, total, percentage (last year available) "/>
  </hyperlinks>
  <pageMargins left="0.7" right="0.7" top="0.75" bottom="0.75" header="0.3" footer="0.3"/>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4"/>
  <sheetViews>
    <sheetView zoomScale="70" zoomScaleNormal="70" zoomScalePageLayoutView="70" workbookViewId="0">
      <selection activeCell="U12" sqref="U12"/>
    </sheetView>
  </sheetViews>
  <sheetFormatPr baseColWidth="10" defaultColWidth="11.5" defaultRowHeight="13" x14ac:dyDescent="0.15"/>
  <cols>
    <col min="1" max="16384" width="11.5" style="89"/>
  </cols>
  <sheetData>
    <row r="1" spans="1:13" ht="15" x14ac:dyDescent="0.2">
      <c r="A1" s="88" t="s">
        <v>29</v>
      </c>
    </row>
    <row r="3" spans="1:13" ht="15" x14ac:dyDescent="0.2">
      <c r="A3" s="94"/>
      <c r="B3" s="94"/>
      <c r="C3" s="94"/>
      <c r="D3" s="94"/>
      <c r="E3" s="94"/>
      <c r="F3" s="94"/>
      <c r="G3" s="94"/>
      <c r="H3" s="94"/>
      <c r="I3" s="94"/>
      <c r="J3" s="94"/>
      <c r="K3" s="94"/>
      <c r="L3" s="94"/>
      <c r="M3" s="94"/>
    </row>
    <row r="4" spans="1:13" ht="15" x14ac:dyDescent="0.2">
      <c r="A4" s="94"/>
      <c r="B4" s="94"/>
      <c r="C4" s="94"/>
      <c r="D4" s="94"/>
      <c r="E4" s="94"/>
      <c r="F4" s="94"/>
      <c r="G4" s="94"/>
      <c r="H4" s="94"/>
      <c r="I4" s="94"/>
      <c r="J4" s="94"/>
      <c r="K4" s="94"/>
      <c r="L4" s="94"/>
      <c r="M4" s="94"/>
    </row>
    <row r="5" spans="1:13" ht="15" x14ac:dyDescent="0.2">
      <c r="A5" s="94"/>
      <c r="B5" s="94"/>
      <c r="C5" s="94"/>
      <c r="D5" s="94"/>
      <c r="E5" s="94"/>
      <c r="F5" s="94"/>
      <c r="G5" s="94"/>
      <c r="H5" s="94"/>
      <c r="I5" s="94"/>
      <c r="J5" s="94"/>
      <c r="K5" s="94"/>
      <c r="L5" s="94"/>
      <c r="M5" s="94"/>
    </row>
    <row r="6" spans="1:13" ht="15" x14ac:dyDescent="0.2">
      <c r="A6" s="90" t="s">
        <v>88</v>
      </c>
      <c r="B6" s="91">
        <v>1990</v>
      </c>
      <c r="C6" s="88" t="s">
        <v>178</v>
      </c>
      <c r="D6" s="91">
        <v>1995</v>
      </c>
      <c r="E6" s="88" t="s">
        <v>179</v>
      </c>
      <c r="F6" s="91">
        <v>2000</v>
      </c>
      <c r="G6" s="88" t="s">
        <v>180</v>
      </c>
      <c r="H6" s="91">
        <v>2005</v>
      </c>
      <c r="I6" s="88" t="s">
        <v>181</v>
      </c>
      <c r="J6" s="91">
        <v>2010</v>
      </c>
      <c r="K6" s="88" t="s">
        <v>324</v>
      </c>
      <c r="L6" s="92">
        <v>2013</v>
      </c>
      <c r="M6" s="88" t="s">
        <v>325</v>
      </c>
    </row>
    <row r="7" spans="1:13" ht="15" x14ac:dyDescent="0.2">
      <c r="A7" s="93" t="s">
        <v>38</v>
      </c>
      <c r="B7" s="94">
        <v>6</v>
      </c>
      <c r="C7" s="94" t="s">
        <v>326</v>
      </c>
      <c r="D7" s="94">
        <v>5</v>
      </c>
      <c r="E7" s="94" t="s">
        <v>326</v>
      </c>
      <c r="F7" s="94">
        <v>5</v>
      </c>
      <c r="G7" s="94" t="s">
        <v>326</v>
      </c>
      <c r="H7" s="94">
        <v>4</v>
      </c>
      <c r="I7" s="94" t="s">
        <v>326</v>
      </c>
      <c r="J7" s="94">
        <v>5</v>
      </c>
      <c r="K7" s="94" t="s">
        <v>326</v>
      </c>
      <c r="L7" s="94">
        <v>4</v>
      </c>
      <c r="M7" s="94" t="s">
        <v>326</v>
      </c>
    </row>
    <row r="8" spans="1:13" ht="15" x14ac:dyDescent="0.2">
      <c r="A8" s="93" t="s">
        <v>110</v>
      </c>
      <c r="B8" s="94">
        <v>6</v>
      </c>
      <c r="C8" s="94" t="s">
        <v>326</v>
      </c>
      <c r="D8" s="94">
        <v>5</v>
      </c>
      <c r="E8" s="94" t="s">
        <v>326</v>
      </c>
      <c r="F8" s="94">
        <v>7</v>
      </c>
      <c r="G8" s="94" t="s">
        <v>326</v>
      </c>
      <c r="H8" s="94">
        <v>9</v>
      </c>
      <c r="I8" s="94" t="s">
        <v>326</v>
      </c>
      <c r="J8" s="94">
        <v>6</v>
      </c>
      <c r="K8" s="94" t="s">
        <v>326</v>
      </c>
      <c r="L8" s="94">
        <v>4</v>
      </c>
      <c r="M8" s="94" t="s">
        <v>326</v>
      </c>
    </row>
    <row r="9" spans="1:13" ht="15" x14ac:dyDescent="0.2">
      <c r="A9" s="93" t="s">
        <v>32</v>
      </c>
      <c r="B9" s="94">
        <v>6</v>
      </c>
      <c r="C9" s="94" t="s">
        <v>326</v>
      </c>
      <c r="D9" s="94">
        <v>2</v>
      </c>
      <c r="E9" s="94" t="s">
        <v>326</v>
      </c>
      <c r="F9" s="94">
        <v>5</v>
      </c>
      <c r="G9" s="94" t="s">
        <v>326</v>
      </c>
      <c r="H9" s="94">
        <v>3</v>
      </c>
      <c r="I9" s="94" t="s">
        <v>326</v>
      </c>
      <c r="J9" s="94">
        <v>5</v>
      </c>
      <c r="K9" s="94" t="s">
        <v>326</v>
      </c>
      <c r="L9" s="94">
        <v>5</v>
      </c>
      <c r="M9" s="94" t="s">
        <v>326</v>
      </c>
    </row>
    <row r="10" spans="1:13" ht="15" x14ac:dyDescent="0.2">
      <c r="A10" s="93" t="s">
        <v>115</v>
      </c>
      <c r="B10" s="94">
        <v>6</v>
      </c>
      <c r="C10" s="94" t="s">
        <v>326</v>
      </c>
      <c r="D10" s="94">
        <v>4</v>
      </c>
      <c r="E10" s="94" t="s">
        <v>326</v>
      </c>
      <c r="F10" s="94">
        <v>6</v>
      </c>
      <c r="G10" s="94" t="s">
        <v>326</v>
      </c>
      <c r="H10" s="94">
        <v>2</v>
      </c>
      <c r="I10" s="94" t="s">
        <v>326</v>
      </c>
      <c r="J10" s="94">
        <v>10</v>
      </c>
      <c r="K10" s="94" t="s">
        <v>326</v>
      </c>
      <c r="L10" s="94">
        <v>9</v>
      </c>
      <c r="M10" s="94" t="s">
        <v>326</v>
      </c>
    </row>
    <row r="11" spans="1:13" ht="15" x14ac:dyDescent="0.2">
      <c r="A11" s="93" t="s">
        <v>121</v>
      </c>
      <c r="B11" s="94">
        <v>6</v>
      </c>
      <c r="C11" s="94" t="s">
        <v>326</v>
      </c>
      <c r="D11" s="94">
        <v>11</v>
      </c>
      <c r="E11" s="94" t="s">
        <v>326</v>
      </c>
      <c r="F11" s="94">
        <v>11</v>
      </c>
      <c r="G11" s="94" t="s">
        <v>326</v>
      </c>
      <c r="H11" s="94">
        <v>17</v>
      </c>
      <c r="I11" s="94" t="s">
        <v>326</v>
      </c>
      <c r="J11" s="94">
        <v>13</v>
      </c>
      <c r="K11" s="94" t="s">
        <v>326</v>
      </c>
      <c r="L11" s="94">
        <v>11</v>
      </c>
      <c r="M11" s="94" t="s">
        <v>326</v>
      </c>
    </row>
    <row r="12" spans="1:13" ht="15" x14ac:dyDescent="0.2">
      <c r="A12" s="93" t="s">
        <v>37</v>
      </c>
      <c r="B12" s="94">
        <v>7</v>
      </c>
      <c r="C12" s="94" t="s">
        <v>326</v>
      </c>
      <c r="D12" s="94">
        <v>4</v>
      </c>
      <c r="E12" s="94" t="s">
        <v>326</v>
      </c>
      <c r="F12" s="94">
        <v>5</v>
      </c>
      <c r="G12" s="94" t="s">
        <v>326</v>
      </c>
      <c r="H12" s="94">
        <v>6</v>
      </c>
      <c r="I12" s="94" t="s">
        <v>326</v>
      </c>
      <c r="J12" s="94">
        <v>6</v>
      </c>
      <c r="K12" s="94" t="s">
        <v>326</v>
      </c>
      <c r="L12" s="94">
        <v>4</v>
      </c>
      <c r="M12" s="94" t="s">
        <v>326</v>
      </c>
    </row>
    <row r="13" spans="1:13" ht="15" x14ac:dyDescent="0.2">
      <c r="A13" s="93" t="s">
        <v>114</v>
      </c>
      <c r="B13" s="94">
        <v>7</v>
      </c>
      <c r="C13" s="94" t="s">
        <v>326</v>
      </c>
      <c r="D13" s="94">
        <v>7</v>
      </c>
      <c r="E13" s="94" t="s">
        <v>326</v>
      </c>
      <c r="F13" s="94">
        <v>6</v>
      </c>
      <c r="G13" s="94" t="s">
        <v>326</v>
      </c>
      <c r="H13" s="94">
        <v>6</v>
      </c>
      <c r="I13" s="94" t="s">
        <v>326</v>
      </c>
      <c r="J13" s="94">
        <v>5</v>
      </c>
      <c r="K13" s="94" t="s">
        <v>326</v>
      </c>
      <c r="L13" s="94">
        <v>4</v>
      </c>
      <c r="M13" s="94" t="s">
        <v>326</v>
      </c>
    </row>
    <row r="14" spans="1:13" ht="15" x14ac:dyDescent="0.2">
      <c r="A14" s="93" t="s">
        <v>39</v>
      </c>
      <c r="B14" s="94">
        <v>8</v>
      </c>
      <c r="C14" s="94" t="s">
        <v>326</v>
      </c>
      <c r="D14" s="94">
        <v>8</v>
      </c>
      <c r="E14" s="94" t="s">
        <v>326</v>
      </c>
      <c r="F14" s="94">
        <v>7</v>
      </c>
      <c r="G14" s="94" t="s">
        <v>326</v>
      </c>
      <c r="H14" s="94">
        <v>8</v>
      </c>
      <c r="I14" s="94" t="s">
        <v>326</v>
      </c>
      <c r="J14" s="94">
        <v>8</v>
      </c>
      <c r="K14" s="94" t="s">
        <v>326</v>
      </c>
      <c r="L14" s="94">
        <v>6</v>
      </c>
      <c r="M14" s="94" t="s">
        <v>326</v>
      </c>
    </row>
    <row r="15" spans="1:13" ht="15" x14ac:dyDescent="0.2">
      <c r="A15" s="93" t="s">
        <v>123</v>
      </c>
      <c r="B15" s="94">
        <v>8</v>
      </c>
      <c r="C15" s="94" t="s">
        <v>327</v>
      </c>
      <c r="D15" s="94">
        <v>9</v>
      </c>
      <c r="E15" s="94" t="s">
        <v>327</v>
      </c>
      <c r="F15" s="94">
        <v>10</v>
      </c>
      <c r="G15" s="94" t="s">
        <v>327</v>
      </c>
      <c r="H15" s="94">
        <v>8</v>
      </c>
      <c r="I15" s="94" t="s">
        <v>327</v>
      </c>
      <c r="J15" s="94">
        <v>7</v>
      </c>
      <c r="K15" s="94" t="s">
        <v>327</v>
      </c>
      <c r="L15" s="94">
        <v>7</v>
      </c>
      <c r="M15" s="94" t="s">
        <v>327</v>
      </c>
    </row>
    <row r="16" spans="1:13" ht="15" x14ac:dyDescent="0.2">
      <c r="A16" s="93" t="s">
        <v>81</v>
      </c>
      <c r="B16" s="94">
        <v>8</v>
      </c>
      <c r="C16" s="94" t="s">
        <v>326</v>
      </c>
      <c r="D16" s="94">
        <v>13</v>
      </c>
      <c r="E16" s="94" t="s">
        <v>326</v>
      </c>
      <c r="F16" s="94">
        <v>11</v>
      </c>
      <c r="G16" s="94" t="s">
        <v>326</v>
      </c>
      <c r="H16" s="94">
        <v>14</v>
      </c>
      <c r="I16" s="94" t="s">
        <v>326</v>
      </c>
      <c r="J16" s="94">
        <v>15</v>
      </c>
      <c r="K16" s="94" t="s">
        <v>326</v>
      </c>
      <c r="L16" s="94">
        <v>13</v>
      </c>
      <c r="M16" s="94" t="s">
        <v>326</v>
      </c>
    </row>
    <row r="17" spans="1:13" ht="15" x14ac:dyDescent="0.2">
      <c r="A17" s="93" t="s">
        <v>125</v>
      </c>
      <c r="B17" s="94">
        <v>9</v>
      </c>
      <c r="C17" s="94" t="s">
        <v>326</v>
      </c>
      <c r="D17" s="94">
        <v>4</v>
      </c>
      <c r="E17" s="94" t="s">
        <v>326</v>
      </c>
      <c r="F17" s="94">
        <v>7</v>
      </c>
      <c r="G17" s="94" t="s">
        <v>326</v>
      </c>
      <c r="H17" s="94">
        <v>9</v>
      </c>
      <c r="I17" s="94" t="s">
        <v>326</v>
      </c>
      <c r="J17" s="94">
        <v>5</v>
      </c>
      <c r="K17" s="94" t="s">
        <v>326</v>
      </c>
      <c r="L17" s="94">
        <v>4</v>
      </c>
      <c r="M17" s="94" t="s">
        <v>326</v>
      </c>
    </row>
    <row r="18" spans="1:13" ht="15" x14ac:dyDescent="0.2">
      <c r="A18" s="93" t="s">
        <v>108</v>
      </c>
      <c r="B18" s="94">
        <v>9</v>
      </c>
      <c r="C18" s="94" t="s">
        <v>326</v>
      </c>
      <c r="D18" s="94">
        <v>16</v>
      </c>
      <c r="E18" s="94" t="s">
        <v>326</v>
      </c>
      <c r="F18" s="94">
        <v>9</v>
      </c>
      <c r="G18" s="94" t="s">
        <v>326</v>
      </c>
      <c r="H18" s="94">
        <v>8</v>
      </c>
      <c r="I18" s="94" t="s">
        <v>326</v>
      </c>
      <c r="J18" s="94">
        <v>9</v>
      </c>
      <c r="K18" s="94" t="s">
        <v>326</v>
      </c>
      <c r="L18" s="94">
        <v>5</v>
      </c>
      <c r="M18" s="94" t="s">
        <v>326</v>
      </c>
    </row>
    <row r="19" spans="1:13" ht="15" x14ac:dyDescent="0.2">
      <c r="A19" s="93" t="s">
        <v>99</v>
      </c>
      <c r="B19" s="94">
        <v>10</v>
      </c>
      <c r="C19" s="94" t="s">
        <v>326</v>
      </c>
      <c r="D19" s="94">
        <v>7</v>
      </c>
      <c r="E19" s="94" t="s">
        <v>326</v>
      </c>
      <c r="F19" s="94">
        <v>5</v>
      </c>
      <c r="G19" s="94" t="s">
        <v>326</v>
      </c>
      <c r="H19" s="94">
        <v>5</v>
      </c>
      <c r="I19" s="94" t="s">
        <v>326</v>
      </c>
      <c r="J19" s="94">
        <v>3</v>
      </c>
      <c r="K19" s="94" t="s">
        <v>326</v>
      </c>
      <c r="L19" s="94">
        <v>4</v>
      </c>
      <c r="M19" s="94" t="s">
        <v>326</v>
      </c>
    </row>
    <row r="20" spans="1:13" ht="15" x14ac:dyDescent="0.2">
      <c r="A20" s="93" t="s">
        <v>117</v>
      </c>
      <c r="B20" s="94">
        <v>10</v>
      </c>
      <c r="C20" s="94" t="s">
        <v>326</v>
      </c>
      <c r="D20" s="94">
        <v>6</v>
      </c>
      <c r="E20" s="94" t="s">
        <v>326</v>
      </c>
      <c r="F20" s="94">
        <v>4</v>
      </c>
      <c r="G20" s="94" t="s">
        <v>326</v>
      </c>
      <c r="H20" s="94">
        <v>5</v>
      </c>
      <c r="I20" s="94" t="s">
        <v>326</v>
      </c>
      <c r="J20" s="94">
        <v>4</v>
      </c>
      <c r="K20" s="94" t="s">
        <v>326</v>
      </c>
      <c r="L20" s="94">
        <v>4</v>
      </c>
      <c r="M20" s="94" t="s">
        <v>326</v>
      </c>
    </row>
    <row r="21" spans="1:13" ht="15" x14ac:dyDescent="0.2">
      <c r="A21" s="93" t="s">
        <v>102</v>
      </c>
      <c r="B21" s="94">
        <v>10</v>
      </c>
      <c r="C21" s="94" t="s">
        <v>326</v>
      </c>
      <c r="D21" s="94">
        <v>10</v>
      </c>
      <c r="E21" s="94" t="s">
        <v>326</v>
      </c>
      <c r="F21" s="94">
        <v>9</v>
      </c>
      <c r="G21" s="94" t="s">
        <v>326</v>
      </c>
      <c r="H21" s="94">
        <v>7</v>
      </c>
      <c r="I21" s="94" t="s">
        <v>326</v>
      </c>
      <c r="J21" s="94">
        <v>7</v>
      </c>
      <c r="K21" s="94" t="s">
        <v>326</v>
      </c>
      <c r="L21" s="94">
        <v>6</v>
      </c>
      <c r="M21" s="94" t="s">
        <v>326</v>
      </c>
    </row>
    <row r="22" spans="1:13" ht="15" x14ac:dyDescent="0.2">
      <c r="A22" s="93" t="s">
        <v>95</v>
      </c>
      <c r="B22" s="94">
        <v>10</v>
      </c>
      <c r="C22" s="94" t="s">
        <v>326</v>
      </c>
      <c r="D22" s="94">
        <v>11</v>
      </c>
      <c r="E22" s="94" t="s">
        <v>326</v>
      </c>
      <c r="F22" s="94">
        <v>11</v>
      </c>
      <c r="G22" s="94" t="s">
        <v>326</v>
      </c>
      <c r="H22" s="94">
        <v>12</v>
      </c>
      <c r="I22" s="94" t="s">
        <v>326</v>
      </c>
      <c r="J22" s="94">
        <v>11</v>
      </c>
      <c r="K22" s="94" t="s">
        <v>326</v>
      </c>
      <c r="L22" s="94">
        <v>8</v>
      </c>
      <c r="M22" s="94" t="s">
        <v>326</v>
      </c>
    </row>
    <row r="23" spans="1:13" ht="15" x14ac:dyDescent="0.2">
      <c r="A23" s="93" t="s">
        <v>124</v>
      </c>
      <c r="B23" s="94">
        <v>11</v>
      </c>
      <c r="C23" s="94" t="s">
        <v>326</v>
      </c>
      <c r="D23" s="94">
        <v>11</v>
      </c>
      <c r="E23" s="94" t="s">
        <v>326</v>
      </c>
      <c r="F23" s="94">
        <v>15</v>
      </c>
      <c r="G23" s="94" t="s">
        <v>326</v>
      </c>
      <c r="H23" s="94">
        <v>10</v>
      </c>
      <c r="I23" s="94" t="s">
        <v>326</v>
      </c>
      <c r="J23" s="94">
        <v>7</v>
      </c>
      <c r="K23" s="94" t="s">
        <v>326</v>
      </c>
      <c r="L23" s="94">
        <v>6</v>
      </c>
      <c r="M23" s="94" t="s">
        <v>326</v>
      </c>
    </row>
    <row r="24" spans="1:13" ht="15" x14ac:dyDescent="0.2">
      <c r="A24" s="93" t="s">
        <v>36</v>
      </c>
      <c r="B24" s="94">
        <v>11</v>
      </c>
      <c r="C24" s="94" t="s">
        <v>326</v>
      </c>
      <c r="D24" s="94">
        <v>11</v>
      </c>
      <c r="E24" s="94" t="s">
        <v>326</v>
      </c>
      <c r="F24" s="94">
        <v>12</v>
      </c>
      <c r="G24" s="94" t="s">
        <v>326</v>
      </c>
      <c r="H24" s="94">
        <v>15</v>
      </c>
      <c r="I24" s="94" t="s">
        <v>326</v>
      </c>
      <c r="J24" s="94">
        <v>8</v>
      </c>
      <c r="K24" s="94" t="s">
        <v>326</v>
      </c>
      <c r="L24" s="94">
        <v>7</v>
      </c>
      <c r="M24" s="94" t="s">
        <v>326</v>
      </c>
    </row>
    <row r="25" spans="1:13" ht="15" x14ac:dyDescent="0.2">
      <c r="A25" s="93" t="s">
        <v>116</v>
      </c>
      <c r="B25" s="94">
        <v>12</v>
      </c>
      <c r="C25" s="94" t="s">
        <v>326</v>
      </c>
      <c r="D25" s="94">
        <v>10</v>
      </c>
      <c r="E25" s="94" t="s">
        <v>326</v>
      </c>
      <c r="F25" s="94">
        <v>9</v>
      </c>
      <c r="G25" s="94" t="s">
        <v>326</v>
      </c>
      <c r="H25" s="94">
        <v>7</v>
      </c>
      <c r="I25" s="94" t="s">
        <v>326</v>
      </c>
      <c r="J25" s="94">
        <v>5</v>
      </c>
      <c r="K25" s="94" t="s">
        <v>326</v>
      </c>
      <c r="L25" s="94">
        <v>2</v>
      </c>
      <c r="M25" s="94" t="s">
        <v>326</v>
      </c>
    </row>
    <row r="26" spans="1:13" ht="15" x14ac:dyDescent="0.2">
      <c r="A26" s="93" t="s">
        <v>111</v>
      </c>
      <c r="B26" s="94">
        <v>12</v>
      </c>
      <c r="C26" s="94" t="s">
        <v>326</v>
      </c>
      <c r="D26" s="94">
        <v>11</v>
      </c>
      <c r="E26" s="94" t="s">
        <v>326</v>
      </c>
      <c r="F26" s="94">
        <v>10</v>
      </c>
      <c r="G26" s="94" t="s">
        <v>326</v>
      </c>
      <c r="H26" s="94">
        <v>9</v>
      </c>
      <c r="I26" s="94" t="s">
        <v>326</v>
      </c>
      <c r="J26" s="94">
        <v>12</v>
      </c>
      <c r="K26" s="94" t="s">
        <v>326</v>
      </c>
      <c r="L26" s="94">
        <v>9</v>
      </c>
      <c r="M26" s="94" t="s">
        <v>326</v>
      </c>
    </row>
    <row r="27" spans="1:13" ht="15" x14ac:dyDescent="0.2">
      <c r="A27" s="93" t="s">
        <v>122</v>
      </c>
      <c r="B27" s="94">
        <v>12</v>
      </c>
      <c r="C27" s="94" t="s">
        <v>326</v>
      </c>
      <c r="D27" s="94">
        <v>11</v>
      </c>
      <c r="E27" s="94" t="s">
        <v>326</v>
      </c>
      <c r="F27" s="94">
        <v>11</v>
      </c>
      <c r="G27" s="94" t="s">
        <v>326</v>
      </c>
      <c r="H27" s="94">
        <v>9</v>
      </c>
      <c r="I27" s="94" t="s">
        <v>326</v>
      </c>
      <c r="J27" s="94">
        <v>8</v>
      </c>
      <c r="K27" s="94" t="s">
        <v>326</v>
      </c>
      <c r="L27" s="94">
        <v>9</v>
      </c>
      <c r="M27" s="94" t="s">
        <v>326</v>
      </c>
    </row>
    <row r="28" spans="1:13" ht="15" x14ac:dyDescent="0.2">
      <c r="A28" s="93" t="s">
        <v>82</v>
      </c>
      <c r="B28" s="94">
        <v>13</v>
      </c>
      <c r="C28" s="94" t="s">
        <v>326</v>
      </c>
      <c r="D28" s="94">
        <v>8</v>
      </c>
      <c r="E28" s="94" t="s">
        <v>326</v>
      </c>
      <c r="F28" s="94">
        <v>7</v>
      </c>
      <c r="G28" s="94" t="s">
        <v>326</v>
      </c>
      <c r="H28" s="94">
        <v>7</v>
      </c>
      <c r="I28" s="94" t="s">
        <v>326</v>
      </c>
      <c r="J28" s="94">
        <v>7</v>
      </c>
      <c r="K28" s="94" t="s">
        <v>326</v>
      </c>
      <c r="L28" s="94">
        <v>7</v>
      </c>
      <c r="M28" s="94" t="s">
        <v>326</v>
      </c>
    </row>
    <row r="29" spans="1:13" ht="15" x14ac:dyDescent="0.2">
      <c r="A29" s="93" t="s">
        <v>107</v>
      </c>
      <c r="B29" s="94">
        <v>15</v>
      </c>
      <c r="C29" s="94" t="s">
        <v>326</v>
      </c>
      <c r="D29" s="94">
        <v>9</v>
      </c>
      <c r="E29" s="94" t="s">
        <v>326</v>
      </c>
      <c r="F29" s="94">
        <v>7</v>
      </c>
      <c r="G29" s="94" t="s">
        <v>326</v>
      </c>
      <c r="H29" s="94">
        <v>7</v>
      </c>
      <c r="I29" s="94" t="s">
        <v>326</v>
      </c>
      <c r="J29" s="94">
        <v>5</v>
      </c>
      <c r="K29" s="94" t="s">
        <v>326</v>
      </c>
      <c r="L29" s="94">
        <v>5</v>
      </c>
      <c r="M29" s="94" t="s">
        <v>326</v>
      </c>
    </row>
    <row r="30" spans="1:13" ht="15" x14ac:dyDescent="0.2">
      <c r="A30" s="93" t="s">
        <v>35</v>
      </c>
      <c r="B30" s="94">
        <v>15</v>
      </c>
      <c r="C30" s="94" t="s">
        <v>326</v>
      </c>
      <c r="D30" s="94">
        <v>10</v>
      </c>
      <c r="E30" s="94" t="s">
        <v>326</v>
      </c>
      <c r="F30" s="94">
        <v>12</v>
      </c>
      <c r="G30" s="94" t="s">
        <v>326</v>
      </c>
      <c r="H30" s="94">
        <v>6</v>
      </c>
      <c r="I30" s="94" t="s">
        <v>326</v>
      </c>
      <c r="J30" s="94">
        <v>7</v>
      </c>
      <c r="K30" s="94" t="s">
        <v>326</v>
      </c>
      <c r="L30" s="94">
        <v>7</v>
      </c>
      <c r="M30" s="94" t="s">
        <v>326</v>
      </c>
    </row>
    <row r="31" spans="1:13" ht="15" x14ac:dyDescent="0.2">
      <c r="A31" s="93" t="s">
        <v>328</v>
      </c>
      <c r="B31" s="94">
        <v>15</v>
      </c>
      <c r="C31" s="94" t="s">
        <v>326</v>
      </c>
      <c r="D31" s="94">
        <v>13</v>
      </c>
      <c r="E31" s="94" t="s">
        <v>326</v>
      </c>
      <c r="F31" s="94">
        <v>15</v>
      </c>
      <c r="G31" s="94" t="s">
        <v>326</v>
      </c>
      <c r="H31" s="94">
        <v>14</v>
      </c>
      <c r="I31" s="94" t="s">
        <v>326</v>
      </c>
      <c r="J31" s="94">
        <v>7</v>
      </c>
      <c r="K31" s="94" t="s">
        <v>326</v>
      </c>
      <c r="L31" s="94">
        <v>7</v>
      </c>
      <c r="M31" s="94" t="s">
        <v>326</v>
      </c>
    </row>
    <row r="32" spans="1:13" ht="15" x14ac:dyDescent="0.2">
      <c r="A32" s="93" t="s">
        <v>127</v>
      </c>
      <c r="B32" s="94">
        <v>15</v>
      </c>
      <c r="C32" s="94" t="s">
        <v>326</v>
      </c>
      <c r="D32" s="94">
        <v>10</v>
      </c>
      <c r="E32" s="94" t="s">
        <v>326</v>
      </c>
      <c r="F32" s="94">
        <v>11</v>
      </c>
      <c r="G32" s="94" t="s">
        <v>326</v>
      </c>
      <c r="H32" s="94">
        <v>11</v>
      </c>
      <c r="I32" s="94" t="s">
        <v>326</v>
      </c>
      <c r="J32" s="94">
        <v>11</v>
      </c>
      <c r="K32" s="94" t="s">
        <v>326</v>
      </c>
      <c r="L32" s="94">
        <v>8</v>
      </c>
      <c r="M32" s="94" t="s">
        <v>326</v>
      </c>
    </row>
    <row r="33" spans="1:13" ht="15" x14ac:dyDescent="0.2">
      <c r="A33" s="93" t="s">
        <v>126</v>
      </c>
      <c r="B33" s="94">
        <v>17</v>
      </c>
      <c r="C33" s="94" t="s">
        <v>326</v>
      </c>
      <c r="D33" s="94">
        <v>14</v>
      </c>
      <c r="E33" s="94" t="s">
        <v>326</v>
      </c>
      <c r="F33" s="94">
        <v>7</v>
      </c>
      <c r="G33" s="94" t="s">
        <v>326</v>
      </c>
      <c r="H33" s="94">
        <v>5</v>
      </c>
      <c r="I33" s="94" t="s">
        <v>326</v>
      </c>
      <c r="J33" s="94">
        <v>4</v>
      </c>
      <c r="K33" s="94" t="s">
        <v>326</v>
      </c>
      <c r="L33" s="94">
        <v>3</v>
      </c>
      <c r="M33" s="94" t="s">
        <v>326</v>
      </c>
    </row>
    <row r="34" spans="1:13" ht="15" x14ac:dyDescent="0.2">
      <c r="A34" s="93" t="s">
        <v>106</v>
      </c>
      <c r="B34" s="94">
        <v>18</v>
      </c>
      <c r="C34" s="94" t="s">
        <v>327</v>
      </c>
      <c r="D34" s="94">
        <v>18</v>
      </c>
      <c r="E34" s="94" t="s">
        <v>327</v>
      </c>
      <c r="F34" s="94">
        <v>16</v>
      </c>
      <c r="G34" s="94" t="s">
        <v>327</v>
      </c>
      <c r="H34" s="94">
        <v>13</v>
      </c>
      <c r="I34" s="94" t="s">
        <v>327</v>
      </c>
      <c r="J34" s="94">
        <v>10</v>
      </c>
      <c r="K34" s="94" t="s">
        <v>327</v>
      </c>
      <c r="L34" s="94">
        <v>10</v>
      </c>
      <c r="M34" s="94" t="s">
        <v>327</v>
      </c>
    </row>
    <row r="35" spans="1:13" ht="15" x14ac:dyDescent="0.2">
      <c r="A35" s="93" t="s">
        <v>34</v>
      </c>
      <c r="B35" s="94">
        <v>18</v>
      </c>
      <c r="C35" s="94" t="s">
        <v>326</v>
      </c>
      <c r="D35" s="94">
        <v>20</v>
      </c>
      <c r="E35" s="94" t="s">
        <v>326</v>
      </c>
      <c r="F35" s="94">
        <v>7</v>
      </c>
      <c r="G35" s="94" t="s">
        <v>326</v>
      </c>
      <c r="H35" s="94">
        <v>8</v>
      </c>
      <c r="I35" s="94" t="s">
        <v>326</v>
      </c>
      <c r="J35" s="94">
        <v>14</v>
      </c>
      <c r="K35" s="94" t="s">
        <v>326</v>
      </c>
      <c r="L35" s="94">
        <v>16</v>
      </c>
      <c r="M35" s="94" t="s">
        <v>326</v>
      </c>
    </row>
    <row r="36" spans="1:13" ht="15" x14ac:dyDescent="0.2">
      <c r="A36" s="93" t="s">
        <v>93</v>
      </c>
      <c r="B36" s="94">
        <v>19</v>
      </c>
      <c r="C36" s="94" t="s">
        <v>327</v>
      </c>
      <c r="D36" s="94">
        <v>16</v>
      </c>
      <c r="E36" s="94" t="s">
        <v>327</v>
      </c>
      <c r="F36" s="94">
        <v>11</v>
      </c>
      <c r="G36" s="94" t="s">
        <v>327</v>
      </c>
      <c r="H36" s="94">
        <v>10</v>
      </c>
      <c r="I36" s="94" t="s">
        <v>327</v>
      </c>
      <c r="J36" s="94">
        <v>9</v>
      </c>
      <c r="K36" s="94" t="s">
        <v>327</v>
      </c>
      <c r="L36" s="94">
        <v>8</v>
      </c>
      <c r="M36" s="94" t="s">
        <v>327</v>
      </c>
    </row>
    <row r="37" spans="1:13" ht="15" x14ac:dyDescent="0.2">
      <c r="A37" s="93" t="s">
        <v>113</v>
      </c>
      <c r="B37" s="94">
        <v>23</v>
      </c>
      <c r="C37" s="94" t="s">
        <v>326</v>
      </c>
      <c r="D37" s="94">
        <v>23</v>
      </c>
      <c r="E37" s="94" t="s">
        <v>326</v>
      </c>
      <c r="F37" s="94">
        <v>10</v>
      </c>
      <c r="G37" s="94" t="s">
        <v>326</v>
      </c>
      <c r="H37" s="94">
        <v>13</v>
      </c>
      <c r="I37" s="94" t="s">
        <v>326</v>
      </c>
      <c r="J37" s="94">
        <v>21</v>
      </c>
      <c r="K37" s="94" t="s">
        <v>326</v>
      </c>
      <c r="L37" s="94">
        <v>14</v>
      </c>
      <c r="M37" s="94" t="s">
        <v>326</v>
      </c>
    </row>
    <row r="38" spans="1:13" ht="15" x14ac:dyDescent="0.2">
      <c r="A38" s="93" t="s">
        <v>104</v>
      </c>
      <c r="B38" s="94">
        <v>24</v>
      </c>
      <c r="C38" s="94" t="s">
        <v>326</v>
      </c>
      <c r="D38" s="94">
        <v>22</v>
      </c>
      <c r="E38" s="94" t="s">
        <v>326</v>
      </c>
      <c r="F38" s="94">
        <v>29</v>
      </c>
      <c r="G38" s="94" t="s">
        <v>326</v>
      </c>
      <c r="H38" s="94">
        <v>14</v>
      </c>
      <c r="I38" s="94" t="s">
        <v>326</v>
      </c>
      <c r="J38" s="94">
        <v>8</v>
      </c>
      <c r="K38" s="94" t="s">
        <v>326</v>
      </c>
      <c r="L38" s="94">
        <v>5</v>
      </c>
      <c r="M38" s="94" t="s">
        <v>326</v>
      </c>
    </row>
    <row r="39" spans="1:13" ht="15" x14ac:dyDescent="0.2">
      <c r="A39" s="93" t="s">
        <v>97</v>
      </c>
      <c r="B39" s="94">
        <v>31</v>
      </c>
      <c r="C39" s="94" t="s">
        <v>327</v>
      </c>
      <c r="D39" s="94">
        <v>29</v>
      </c>
      <c r="E39" s="94" t="s">
        <v>327</v>
      </c>
      <c r="F39" s="94">
        <v>28</v>
      </c>
      <c r="G39" s="94" t="s">
        <v>327</v>
      </c>
      <c r="H39" s="94">
        <v>24</v>
      </c>
      <c r="I39" s="94" t="s">
        <v>327</v>
      </c>
      <c r="J39" s="94">
        <v>21</v>
      </c>
      <c r="K39" s="94" t="s">
        <v>327</v>
      </c>
      <c r="L39" s="94">
        <v>21</v>
      </c>
      <c r="M39" s="94" t="s">
        <v>327</v>
      </c>
    </row>
    <row r="40" spans="1:13" ht="15" x14ac:dyDescent="0.2">
      <c r="A40" s="93" t="s">
        <v>120</v>
      </c>
      <c r="B40" s="94">
        <v>34</v>
      </c>
      <c r="C40" s="94" t="s">
        <v>326</v>
      </c>
      <c r="D40" s="94">
        <v>21</v>
      </c>
      <c r="E40" s="94" t="s">
        <v>326</v>
      </c>
      <c r="F40" s="94">
        <v>20</v>
      </c>
      <c r="G40" s="94" t="s">
        <v>326</v>
      </c>
      <c r="H40" s="94">
        <v>11</v>
      </c>
      <c r="I40" s="94" t="s">
        <v>326</v>
      </c>
      <c r="J40" s="94">
        <v>9</v>
      </c>
      <c r="K40" s="94" t="s">
        <v>326</v>
      </c>
      <c r="L40" s="94">
        <v>11</v>
      </c>
      <c r="M40" s="94" t="s">
        <v>326</v>
      </c>
    </row>
    <row r="41" spans="1:13" ht="15" x14ac:dyDescent="0.2">
      <c r="A41" s="93" t="s">
        <v>92</v>
      </c>
      <c r="B41" s="94">
        <v>37</v>
      </c>
      <c r="C41" s="94" t="s">
        <v>326</v>
      </c>
      <c r="D41" s="94">
        <v>29</v>
      </c>
      <c r="E41" s="94" t="s">
        <v>326</v>
      </c>
      <c r="F41" s="94">
        <v>32</v>
      </c>
      <c r="G41" s="94" t="s">
        <v>326</v>
      </c>
      <c r="H41" s="94">
        <v>21</v>
      </c>
      <c r="I41" s="94" t="s">
        <v>326</v>
      </c>
      <c r="J41" s="94">
        <v>2</v>
      </c>
      <c r="K41" s="94" t="s">
        <v>326</v>
      </c>
      <c r="L41" s="94">
        <v>1</v>
      </c>
      <c r="M41" s="94" t="s">
        <v>326</v>
      </c>
    </row>
    <row r="42" spans="1:13" ht="15" x14ac:dyDescent="0.2">
      <c r="A42" s="93" t="s">
        <v>98</v>
      </c>
      <c r="B42" s="94">
        <v>47</v>
      </c>
      <c r="C42" s="94" t="s">
        <v>327</v>
      </c>
      <c r="D42" s="94">
        <v>51</v>
      </c>
      <c r="E42" s="94" t="s">
        <v>327</v>
      </c>
      <c r="F42" s="94">
        <v>43</v>
      </c>
      <c r="G42" s="94" t="s">
        <v>327</v>
      </c>
      <c r="H42" s="94">
        <v>37</v>
      </c>
      <c r="I42" s="94" t="s">
        <v>327</v>
      </c>
      <c r="J42" s="94">
        <v>31</v>
      </c>
      <c r="K42" s="94" t="s">
        <v>327</v>
      </c>
      <c r="L42" s="94">
        <v>29</v>
      </c>
      <c r="M42" s="94" t="s">
        <v>327</v>
      </c>
    </row>
    <row r="43" spans="1:13" ht="15" x14ac:dyDescent="0.2">
      <c r="A43" s="93" t="s">
        <v>109</v>
      </c>
      <c r="B43" s="94">
        <v>48</v>
      </c>
      <c r="C43" s="94" t="s">
        <v>326</v>
      </c>
      <c r="D43" s="94">
        <v>46</v>
      </c>
      <c r="E43" s="94" t="s">
        <v>326</v>
      </c>
      <c r="F43" s="94">
        <v>26</v>
      </c>
      <c r="G43" s="94" t="s">
        <v>326</v>
      </c>
      <c r="H43" s="94">
        <v>24</v>
      </c>
      <c r="I43" s="94" t="s">
        <v>326</v>
      </c>
      <c r="J43" s="94">
        <v>6</v>
      </c>
      <c r="K43" s="94" t="s">
        <v>326</v>
      </c>
      <c r="L43" s="94">
        <v>11</v>
      </c>
      <c r="M43" s="94" t="s">
        <v>326</v>
      </c>
    </row>
    <row r="44" spans="1:13" ht="15" x14ac:dyDescent="0.2">
      <c r="A44" s="93" t="s">
        <v>41</v>
      </c>
      <c r="B44" s="94">
        <v>48</v>
      </c>
      <c r="C44" s="94" t="s">
        <v>327</v>
      </c>
      <c r="D44" s="94">
        <v>39</v>
      </c>
      <c r="E44" s="94" t="s">
        <v>327</v>
      </c>
      <c r="F44" s="94">
        <v>33</v>
      </c>
      <c r="G44" s="94" t="s">
        <v>327</v>
      </c>
      <c r="H44" s="94">
        <v>27</v>
      </c>
      <c r="I44" s="94" t="s">
        <v>327</v>
      </c>
      <c r="J44" s="94">
        <v>22</v>
      </c>
      <c r="K44" s="94" t="s">
        <v>327</v>
      </c>
      <c r="L44" s="94">
        <v>20</v>
      </c>
      <c r="M44" s="94" t="s">
        <v>327</v>
      </c>
    </row>
    <row r="45" spans="1:13" ht="15" x14ac:dyDescent="0.2">
      <c r="A45" s="93" t="s">
        <v>42</v>
      </c>
      <c r="B45" s="94">
        <v>49</v>
      </c>
      <c r="C45" s="94" t="s">
        <v>326</v>
      </c>
      <c r="D45" s="94">
        <v>45</v>
      </c>
      <c r="E45" s="94" t="s">
        <v>326</v>
      </c>
      <c r="F45" s="94">
        <v>35</v>
      </c>
      <c r="G45" s="94" t="s">
        <v>326</v>
      </c>
      <c r="H45" s="94">
        <v>25</v>
      </c>
      <c r="I45" s="94" t="s">
        <v>326</v>
      </c>
      <c r="J45" s="94">
        <v>29</v>
      </c>
      <c r="K45" s="94" t="s">
        <v>326</v>
      </c>
      <c r="L45" s="94">
        <v>23</v>
      </c>
      <c r="M45" s="94" t="s">
        <v>326</v>
      </c>
    </row>
    <row r="46" spans="1:13" ht="15" x14ac:dyDescent="0.2">
      <c r="A46" s="93" t="s">
        <v>94</v>
      </c>
      <c r="B46" s="94">
        <v>50</v>
      </c>
      <c r="C46" s="94" t="s">
        <v>327</v>
      </c>
      <c r="D46" s="94">
        <v>67</v>
      </c>
      <c r="E46" s="94" t="s">
        <v>327</v>
      </c>
      <c r="F46" s="94">
        <v>60</v>
      </c>
      <c r="G46" s="94" t="s">
        <v>327</v>
      </c>
      <c r="H46" s="94">
        <v>48</v>
      </c>
      <c r="I46" s="94" t="s">
        <v>327</v>
      </c>
      <c r="J46" s="94">
        <v>42</v>
      </c>
      <c r="K46" s="94" t="s">
        <v>327</v>
      </c>
      <c r="L46" s="94">
        <v>41</v>
      </c>
      <c r="M46" s="94" t="s">
        <v>327</v>
      </c>
    </row>
    <row r="47" spans="1:13" ht="15" x14ac:dyDescent="0.2">
      <c r="A47" s="93" t="s">
        <v>119</v>
      </c>
      <c r="B47" s="94">
        <v>57</v>
      </c>
      <c r="C47" s="94" t="s">
        <v>326</v>
      </c>
      <c r="D47" s="94">
        <v>58</v>
      </c>
      <c r="E47" s="94" t="s">
        <v>326</v>
      </c>
      <c r="F47" s="94">
        <v>42</v>
      </c>
      <c r="G47" s="94" t="s">
        <v>326</v>
      </c>
      <c r="H47" s="94">
        <v>21</v>
      </c>
      <c r="I47" s="94" t="s">
        <v>326</v>
      </c>
      <c r="J47" s="94">
        <v>29</v>
      </c>
      <c r="K47" s="94" t="s">
        <v>326</v>
      </c>
      <c r="L47" s="94">
        <v>13</v>
      </c>
      <c r="M47" s="94" t="s">
        <v>326</v>
      </c>
    </row>
    <row r="48" spans="1:13" ht="15" x14ac:dyDescent="0.2">
      <c r="A48" s="93" t="s">
        <v>100</v>
      </c>
      <c r="B48" s="94">
        <v>60</v>
      </c>
      <c r="C48" s="94" t="s">
        <v>327</v>
      </c>
      <c r="D48" s="94">
        <v>83</v>
      </c>
      <c r="E48" s="94" t="s">
        <v>327</v>
      </c>
      <c r="F48" s="94">
        <v>57</v>
      </c>
      <c r="G48" s="94" t="s">
        <v>327</v>
      </c>
      <c r="H48" s="94">
        <v>36</v>
      </c>
      <c r="I48" s="94" t="s">
        <v>327</v>
      </c>
      <c r="J48" s="94">
        <v>27</v>
      </c>
      <c r="K48" s="94" t="s">
        <v>327</v>
      </c>
      <c r="L48" s="94">
        <v>26</v>
      </c>
      <c r="M48" s="94" t="s">
        <v>327</v>
      </c>
    </row>
    <row r="49" spans="1:19" ht="15" x14ac:dyDescent="0.2">
      <c r="A49" s="93" t="s">
        <v>128</v>
      </c>
      <c r="B49" s="94">
        <v>61</v>
      </c>
      <c r="C49" s="94" t="s">
        <v>326</v>
      </c>
      <c r="D49" s="94">
        <v>59</v>
      </c>
      <c r="E49" s="94" t="s">
        <v>326</v>
      </c>
      <c r="F49" s="94">
        <v>39</v>
      </c>
      <c r="G49" s="94" t="s">
        <v>326</v>
      </c>
      <c r="H49" s="94">
        <v>25</v>
      </c>
      <c r="I49" s="94" t="s">
        <v>326</v>
      </c>
      <c r="J49" s="94">
        <v>41</v>
      </c>
      <c r="K49" s="94" t="s">
        <v>326</v>
      </c>
      <c r="L49" s="94">
        <v>21</v>
      </c>
      <c r="M49" s="94" t="s">
        <v>326</v>
      </c>
    </row>
    <row r="50" spans="1:19" ht="15" x14ac:dyDescent="0.2">
      <c r="A50" s="93" t="s">
        <v>155</v>
      </c>
      <c r="B50" s="94">
        <v>66</v>
      </c>
      <c r="C50" s="94" t="s">
        <v>326</v>
      </c>
      <c r="D50" s="94">
        <v>54</v>
      </c>
      <c r="E50" s="94" t="s">
        <v>326</v>
      </c>
      <c r="F50" s="94">
        <v>48</v>
      </c>
      <c r="G50" s="94" t="s">
        <v>326</v>
      </c>
      <c r="H50" s="94">
        <v>44</v>
      </c>
      <c r="I50" s="94" t="s">
        <v>326</v>
      </c>
      <c r="J50" s="94">
        <v>40</v>
      </c>
      <c r="K50" s="94" t="s">
        <v>326</v>
      </c>
      <c r="L50" s="94">
        <v>36</v>
      </c>
      <c r="M50" s="94" t="s">
        <v>326</v>
      </c>
    </row>
    <row r="51" spans="1:19" ht="15" x14ac:dyDescent="0.2">
      <c r="A51" s="93" t="s">
        <v>83</v>
      </c>
      <c r="B51" s="94">
        <v>66</v>
      </c>
      <c r="C51" s="94" t="s">
        <v>327</v>
      </c>
      <c r="D51" s="94">
        <v>79</v>
      </c>
      <c r="E51" s="94" t="s">
        <v>327</v>
      </c>
      <c r="F51" s="94">
        <v>81</v>
      </c>
      <c r="G51" s="94" t="s">
        <v>327</v>
      </c>
      <c r="H51" s="94">
        <v>76</v>
      </c>
      <c r="I51" s="94" t="s">
        <v>327</v>
      </c>
      <c r="J51" s="94">
        <v>65</v>
      </c>
      <c r="K51" s="94" t="s">
        <v>327</v>
      </c>
      <c r="L51" s="94">
        <v>61</v>
      </c>
      <c r="M51" s="94" t="s">
        <v>327</v>
      </c>
    </row>
    <row r="52" spans="1:19" ht="15" x14ac:dyDescent="0.2">
      <c r="A52" s="93" t="s">
        <v>40</v>
      </c>
      <c r="B52" s="94">
        <v>68</v>
      </c>
      <c r="C52" s="94" t="s">
        <v>327</v>
      </c>
      <c r="D52" s="94">
        <v>120</v>
      </c>
      <c r="E52" s="94" t="s">
        <v>327</v>
      </c>
      <c r="F52" s="94">
        <v>89</v>
      </c>
      <c r="G52" s="94" t="s">
        <v>327</v>
      </c>
      <c r="H52" s="94">
        <v>59</v>
      </c>
      <c r="I52" s="94" t="s">
        <v>327</v>
      </c>
      <c r="J52" s="94">
        <v>48</v>
      </c>
      <c r="K52" s="94" t="s">
        <v>327</v>
      </c>
      <c r="L52" s="94">
        <v>44</v>
      </c>
      <c r="M52" s="94" t="s">
        <v>327</v>
      </c>
    </row>
    <row r="53" spans="1:19" ht="15" x14ac:dyDescent="0.2">
      <c r="A53" s="93" t="s">
        <v>130</v>
      </c>
      <c r="B53" s="94">
        <v>74</v>
      </c>
      <c r="C53" s="94" t="s">
        <v>326</v>
      </c>
      <c r="D53" s="94">
        <v>72</v>
      </c>
      <c r="E53" s="94" t="s">
        <v>326</v>
      </c>
      <c r="F53" s="94">
        <v>57</v>
      </c>
      <c r="G53" s="94" t="s">
        <v>326</v>
      </c>
      <c r="H53" s="94">
        <v>37</v>
      </c>
      <c r="I53" s="94" t="s">
        <v>326</v>
      </c>
      <c r="J53" s="94">
        <v>31</v>
      </c>
      <c r="K53" s="94" t="s">
        <v>326</v>
      </c>
      <c r="L53" s="94">
        <v>24</v>
      </c>
      <c r="M53" s="94" t="s">
        <v>326</v>
      </c>
    </row>
    <row r="54" spans="1:19" ht="15" x14ac:dyDescent="0.2">
      <c r="A54" s="93" t="s">
        <v>22</v>
      </c>
      <c r="B54" s="94">
        <v>85</v>
      </c>
      <c r="C54" s="94" t="s">
        <v>327</v>
      </c>
      <c r="D54" s="94">
        <v>120</v>
      </c>
      <c r="E54" s="94" t="s">
        <v>327</v>
      </c>
      <c r="F54" s="94">
        <v>100</v>
      </c>
      <c r="G54" s="94" t="s">
        <v>327</v>
      </c>
      <c r="H54" s="94">
        <v>92</v>
      </c>
      <c r="I54" s="94" t="s">
        <v>327</v>
      </c>
      <c r="J54" s="94">
        <v>79</v>
      </c>
      <c r="K54" s="94" t="s">
        <v>327</v>
      </c>
      <c r="L54" s="94">
        <v>75</v>
      </c>
      <c r="M54" s="94" t="s">
        <v>327</v>
      </c>
      <c r="N54" s="243" t="s">
        <v>382</v>
      </c>
      <c r="O54" s="244"/>
      <c r="P54" s="244"/>
      <c r="Q54" s="244"/>
      <c r="R54" s="244"/>
      <c r="S54" s="245"/>
    </row>
    <row r="55" spans="1:19" ht="15" x14ac:dyDescent="0.2">
      <c r="A55" s="93" t="s">
        <v>118</v>
      </c>
      <c r="B55" s="94">
        <v>91</v>
      </c>
      <c r="C55" s="94" t="s">
        <v>326</v>
      </c>
      <c r="D55" s="94">
        <v>91</v>
      </c>
      <c r="E55" s="94" t="s">
        <v>326</v>
      </c>
      <c r="F55" s="94">
        <v>71</v>
      </c>
      <c r="G55" s="94" t="s">
        <v>326</v>
      </c>
      <c r="H55" s="94">
        <v>50</v>
      </c>
      <c r="I55" s="94" t="s">
        <v>326</v>
      </c>
      <c r="J55" s="94">
        <v>40</v>
      </c>
      <c r="K55" s="94" t="s">
        <v>326</v>
      </c>
      <c r="L55" s="94">
        <v>26</v>
      </c>
      <c r="M55" s="94" t="s">
        <v>326</v>
      </c>
      <c r="N55" s="246"/>
      <c r="O55" s="247"/>
      <c r="P55" s="247"/>
      <c r="Q55" s="247"/>
      <c r="R55" s="247"/>
      <c r="S55" s="248"/>
    </row>
    <row r="56" spans="1:19" ht="15" x14ac:dyDescent="0.2">
      <c r="A56" s="93" t="s">
        <v>129</v>
      </c>
      <c r="B56" s="94">
        <v>170</v>
      </c>
      <c r="C56" s="94" t="s">
        <v>326</v>
      </c>
      <c r="D56" s="94">
        <v>72</v>
      </c>
      <c r="E56" s="94" t="s">
        <v>326</v>
      </c>
      <c r="F56" s="94">
        <v>53</v>
      </c>
      <c r="G56" s="94" t="s">
        <v>326</v>
      </c>
      <c r="H56" s="94">
        <v>30</v>
      </c>
      <c r="I56" s="94" t="s">
        <v>326</v>
      </c>
      <c r="J56" s="94">
        <v>30</v>
      </c>
      <c r="K56" s="94" t="s">
        <v>326</v>
      </c>
      <c r="L56" s="94">
        <v>33</v>
      </c>
      <c r="M56" s="94" t="s">
        <v>326</v>
      </c>
      <c r="N56" s="246"/>
      <c r="O56" s="247"/>
      <c r="P56" s="247"/>
      <c r="Q56" s="247"/>
      <c r="R56" s="247"/>
      <c r="S56" s="248"/>
    </row>
    <row r="57" spans="1:19" x14ac:dyDescent="0.15">
      <c r="N57" s="246"/>
      <c r="O57" s="247"/>
      <c r="P57" s="247"/>
      <c r="Q57" s="247"/>
      <c r="R57" s="247"/>
      <c r="S57" s="248"/>
    </row>
    <row r="58" spans="1:19" x14ac:dyDescent="0.15">
      <c r="N58" s="246"/>
      <c r="O58" s="247"/>
      <c r="P58" s="247"/>
      <c r="Q58" s="247"/>
      <c r="R58" s="247"/>
      <c r="S58" s="248"/>
    </row>
    <row r="59" spans="1:19" x14ac:dyDescent="0.15">
      <c r="N59" s="246"/>
      <c r="O59" s="247"/>
      <c r="P59" s="247"/>
      <c r="Q59" s="247"/>
      <c r="R59" s="247"/>
      <c r="S59" s="248"/>
    </row>
    <row r="60" spans="1:19" x14ac:dyDescent="0.15">
      <c r="N60" s="246"/>
      <c r="O60" s="247"/>
      <c r="P60" s="247"/>
      <c r="Q60" s="247"/>
      <c r="R60" s="247"/>
      <c r="S60" s="248"/>
    </row>
    <row r="61" spans="1:19" x14ac:dyDescent="0.15">
      <c r="N61" s="246"/>
      <c r="O61" s="247"/>
      <c r="P61" s="247"/>
      <c r="Q61" s="247"/>
      <c r="R61" s="247"/>
      <c r="S61" s="248"/>
    </row>
    <row r="62" spans="1:19" x14ac:dyDescent="0.15">
      <c r="N62" s="246"/>
      <c r="O62" s="247"/>
      <c r="P62" s="247"/>
      <c r="Q62" s="247"/>
      <c r="R62" s="247"/>
      <c r="S62" s="248"/>
    </row>
    <row r="63" spans="1:19" x14ac:dyDescent="0.15">
      <c r="N63" s="246"/>
      <c r="O63" s="247"/>
      <c r="P63" s="247"/>
      <c r="Q63" s="247"/>
      <c r="R63" s="247"/>
      <c r="S63" s="248"/>
    </row>
    <row r="64" spans="1:19" x14ac:dyDescent="0.15">
      <c r="N64" s="249"/>
      <c r="O64" s="250"/>
      <c r="P64" s="250"/>
      <c r="Q64" s="250"/>
      <c r="R64" s="250"/>
      <c r="S64" s="251"/>
    </row>
  </sheetData>
  <mergeCells count="1">
    <mergeCell ref="N54:S64"/>
  </mergeCells>
  <phoneticPr fontId="7"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2"/>
  <sheetViews>
    <sheetView zoomScale="70" zoomScaleNormal="70" zoomScalePageLayoutView="70" workbookViewId="0">
      <selection activeCell="V29" sqref="V29"/>
    </sheetView>
  </sheetViews>
  <sheetFormatPr baseColWidth="10" defaultColWidth="11.5" defaultRowHeight="13" x14ac:dyDescent="0.15"/>
  <cols>
    <col min="1" max="16384" width="11.5" style="89"/>
  </cols>
  <sheetData>
    <row r="1" spans="1:14" ht="15" x14ac:dyDescent="0.2">
      <c r="A1" s="88" t="s">
        <v>28</v>
      </c>
    </row>
    <row r="4" spans="1:14" ht="15" x14ac:dyDescent="0.2">
      <c r="A4" s="90" t="s">
        <v>88</v>
      </c>
      <c r="B4" s="91">
        <v>1990</v>
      </c>
      <c r="C4" s="88" t="s">
        <v>178</v>
      </c>
      <c r="D4" s="91">
        <v>1995</v>
      </c>
      <c r="E4" s="88" t="s">
        <v>179</v>
      </c>
      <c r="F4" s="91">
        <v>2000</v>
      </c>
      <c r="G4" s="88" t="s">
        <v>180</v>
      </c>
      <c r="H4" s="91">
        <v>2005</v>
      </c>
      <c r="I4" s="88" t="s">
        <v>181</v>
      </c>
      <c r="J4" s="91">
        <v>2010</v>
      </c>
      <c r="K4" s="88" t="s">
        <v>324</v>
      </c>
      <c r="L4" s="92">
        <v>2013</v>
      </c>
      <c r="M4" s="88" t="s">
        <v>325</v>
      </c>
    </row>
    <row r="5" spans="1:14" ht="15" x14ac:dyDescent="0.2">
      <c r="A5" s="93" t="s">
        <v>92</v>
      </c>
      <c r="B5" s="94">
        <v>37</v>
      </c>
      <c r="C5" s="94" t="s">
        <v>326</v>
      </c>
      <c r="D5" s="94">
        <v>29</v>
      </c>
      <c r="E5" s="94" t="s">
        <v>326</v>
      </c>
      <c r="F5" s="94">
        <v>32</v>
      </c>
      <c r="G5" s="94" t="s">
        <v>326</v>
      </c>
      <c r="H5" s="94">
        <v>21</v>
      </c>
      <c r="I5" s="94" t="s">
        <v>326</v>
      </c>
      <c r="J5" s="94">
        <v>2</v>
      </c>
      <c r="K5" s="94" t="s">
        <v>326</v>
      </c>
      <c r="L5" s="94">
        <v>1</v>
      </c>
      <c r="M5" s="94" t="s">
        <v>326</v>
      </c>
      <c r="N5" s="89" t="s">
        <v>75</v>
      </c>
    </row>
    <row r="6" spans="1:14" ht="15" x14ac:dyDescent="0.2">
      <c r="A6" s="93" t="s">
        <v>116</v>
      </c>
      <c r="B6" s="94">
        <v>12</v>
      </c>
      <c r="C6" s="94" t="s">
        <v>326</v>
      </c>
      <c r="D6" s="94">
        <v>10</v>
      </c>
      <c r="E6" s="94" t="s">
        <v>326</v>
      </c>
      <c r="F6" s="94">
        <v>9</v>
      </c>
      <c r="G6" s="94" t="s">
        <v>326</v>
      </c>
      <c r="H6" s="94">
        <v>7</v>
      </c>
      <c r="I6" s="94" t="s">
        <v>326</v>
      </c>
      <c r="J6" s="94">
        <v>5</v>
      </c>
      <c r="K6" s="94" t="s">
        <v>326</v>
      </c>
      <c r="L6" s="94">
        <v>2</v>
      </c>
      <c r="M6" s="94" t="s">
        <v>326</v>
      </c>
      <c r="N6" s="89" t="s">
        <v>75</v>
      </c>
    </row>
    <row r="7" spans="1:14" ht="15" x14ac:dyDescent="0.2">
      <c r="A7" s="93" t="s">
        <v>126</v>
      </c>
      <c r="B7" s="94">
        <v>17</v>
      </c>
      <c r="C7" s="94" t="s">
        <v>326</v>
      </c>
      <c r="D7" s="94">
        <v>14</v>
      </c>
      <c r="E7" s="94" t="s">
        <v>326</v>
      </c>
      <c r="F7" s="94">
        <v>7</v>
      </c>
      <c r="G7" s="94" t="s">
        <v>326</v>
      </c>
      <c r="H7" s="94">
        <v>5</v>
      </c>
      <c r="I7" s="94" t="s">
        <v>326</v>
      </c>
      <c r="J7" s="94">
        <v>4</v>
      </c>
      <c r="K7" s="94" t="s">
        <v>326</v>
      </c>
      <c r="L7" s="94">
        <v>3</v>
      </c>
      <c r="M7" s="94" t="s">
        <v>326</v>
      </c>
      <c r="N7" s="89" t="s">
        <v>75</v>
      </c>
    </row>
    <row r="8" spans="1:14" ht="15" x14ac:dyDescent="0.2">
      <c r="A8" s="93" t="s">
        <v>99</v>
      </c>
      <c r="B8" s="94">
        <v>10</v>
      </c>
      <c r="C8" s="94" t="s">
        <v>326</v>
      </c>
      <c r="D8" s="94">
        <v>7</v>
      </c>
      <c r="E8" s="94" t="s">
        <v>326</v>
      </c>
      <c r="F8" s="94">
        <v>5</v>
      </c>
      <c r="G8" s="94" t="s">
        <v>326</v>
      </c>
      <c r="H8" s="94">
        <v>5</v>
      </c>
      <c r="I8" s="94" t="s">
        <v>326</v>
      </c>
      <c r="J8" s="94">
        <v>3</v>
      </c>
      <c r="K8" s="94" t="s">
        <v>326</v>
      </c>
      <c r="L8" s="94">
        <v>4</v>
      </c>
      <c r="M8" s="94" t="s">
        <v>326</v>
      </c>
      <c r="N8" s="89" t="s">
        <v>75</v>
      </c>
    </row>
    <row r="9" spans="1:14" ht="15" x14ac:dyDescent="0.2">
      <c r="A9" s="93" t="s">
        <v>38</v>
      </c>
      <c r="B9" s="94">
        <v>6</v>
      </c>
      <c r="C9" s="94" t="s">
        <v>326</v>
      </c>
      <c r="D9" s="94">
        <v>5</v>
      </c>
      <c r="E9" s="94" t="s">
        <v>326</v>
      </c>
      <c r="F9" s="94">
        <v>5</v>
      </c>
      <c r="G9" s="94" t="s">
        <v>326</v>
      </c>
      <c r="H9" s="94">
        <v>4</v>
      </c>
      <c r="I9" s="94" t="s">
        <v>326</v>
      </c>
      <c r="J9" s="94">
        <v>5</v>
      </c>
      <c r="K9" s="94" t="s">
        <v>326</v>
      </c>
      <c r="L9" s="94">
        <v>4</v>
      </c>
      <c r="M9" s="94" t="s">
        <v>326</v>
      </c>
      <c r="N9" s="89" t="s">
        <v>75</v>
      </c>
    </row>
    <row r="10" spans="1:14" ht="15" x14ac:dyDescent="0.2">
      <c r="A10" s="93" t="s">
        <v>110</v>
      </c>
      <c r="B10" s="94">
        <v>6</v>
      </c>
      <c r="C10" s="94" t="s">
        <v>326</v>
      </c>
      <c r="D10" s="94">
        <v>5</v>
      </c>
      <c r="E10" s="94" t="s">
        <v>326</v>
      </c>
      <c r="F10" s="94">
        <v>7</v>
      </c>
      <c r="G10" s="94" t="s">
        <v>326</v>
      </c>
      <c r="H10" s="94">
        <v>9</v>
      </c>
      <c r="I10" s="94" t="s">
        <v>326</v>
      </c>
      <c r="J10" s="94">
        <v>6</v>
      </c>
      <c r="K10" s="94" t="s">
        <v>326</v>
      </c>
      <c r="L10" s="94">
        <v>4</v>
      </c>
      <c r="M10" s="94" t="s">
        <v>326</v>
      </c>
      <c r="N10" s="89" t="s">
        <v>75</v>
      </c>
    </row>
    <row r="11" spans="1:14" ht="15" x14ac:dyDescent="0.2">
      <c r="A11" s="93" t="s">
        <v>37</v>
      </c>
      <c r="B11" s="94">
        <v>7</v>
      </c>
      <c r="C11" s="94" t="s">
        <v>326</v>
      </c>
      <c r="D11" s="94">
        <v>4</v>
      </c>
      <c r="E11" s="94" t="s">
        <v>326</v>
      </c>
      <c r="F11" s="94">
        <v>5</v>
      </c>
      <c r="G11" s="94" t="s">
        <v>326</v>
      </c>
      <c r="H11" s="94">
        <v>6</v>
      </c>
      <c r="I11" s="94" t="s">
        <v>326</v>
      </c>
      <c r="J11" s="94">
        <v>6</v>
      </c>
      <c r="K11" s="94" t="s">
        <v>326</v>
      </c>
      <c r="L11" s="94">
        <v>4</v>
      </c>
      <c r="M11" s="94" t="s">
        <v>326</v>
      </c>
      <c r="N11" s="89" t="s">
        <v>75</v>
      </c>
    </row>
    <row r="12" spans="1:14" ht="15" x14ac:dyDescent="0.2">
      <c r="A12" s="93" t="s">
        <v>114</v>
      </c>
      <c r="B12" s="94">
        <v>7</v>
      </c>
      <c r="C12" s="94" t="s">
        <v>326</v>
      </c>
      <c r="D12" s="94">
        <v>7</v>
      </c>
      <c r="E12" s="94" t="s">
        <v>326</v>
      </c>
      <c r="F12" s="94">
        <v>6</v>
      </c>
      <c r="G12" s="94" t="s">
        <v>326</v>
      </c>
      <c r="H12" s="94">
        <v>6</v>
      </c>
      <c r="I12" s="94" t="s">
        <v>326</v>
      </c>
      <c r="J12" s="94">
        <v>5</v>
      </c>
      <c r="K12" s="94" t="s">
        <v>326</v>
      </c>
      <c r="L12" s="94">
        <v>4</v>
      </c>
      <c r="M12" s="94" t="s">
        <v>326</v>
      </c>
      <c r="N12" s="89" t="s">
        <v>75</v>
      </c>
    </row>
    <row r="13" spans="1:14" ht="15" x14ac:dyDescent="0.2">
      <c r="A13" s="93" t="s">
        <v>125</v>
      </c>
      <c r="B13" s="94">
        <v>9</v>
      </c>
      <c r="C13" s="94" t="s">
        <v>326</v>
      </c>
      <c r="D13" s="94">
        <v>4</v>
      </c>
      <c r="E13" s="94" t="s">
        <v>326</v>
      </c>
      <c r="F13" s="94">
        <v>7</v>
      </c>
      <c r="G13" s="94" t="s">
        <v>326</v>
      </c>
      <c r="H13" s="94">
        <v>9</v>
      </c>
      <c r="I13" s="94" t="s">
        <v>326</v>
      </c>
      <c r="J13" s="94">
        <v>5</v>
      </c>
      <c r="K13" s="94" t="s">
        <v>326</v>
      </c>
      <c r="L13" s="94">
        <v>4</v>
      </c>
      <c r="M13" s="94" t="s">
        <v>326</v>
      </c>
      <c r="N13" s="89" t="s">
        <v>75</v>
      </c>
    </row>
    <row r="14" spans="1:14" ht="15" x14ac:dyDescent="0.2">
      <c r="A14" s="93" t="s">
        <v>117</v>
      </c>
      <c r="B14" s="94">
        <v>10</v>
      </c>
      <c r="C14" s="94" t="s">
        <v>326</v>
      </c>
      <c r="D14" s="94">
        <v>6</v>
      </c>
      <c r="E14" s="94" t="s">
        <v>326</v>
      </c>
      <c r="F14" s="94">
        <v>4</v>
      </c>
      <c r="G14" s="94" t="s">
        <v>326</v>
      </c>
      <c r="H14" s="94">
        <v>5</v>
      </c>
      <c r="I14" s="94" t="s">
        <v>326</v>
      </c>
      <c r="J14" s="94">
        <v>4</v>
      </c>
      <c r="K14" s="94" t="s">
        <v>326</v>
      </c>
      <c r="L14" s="94">
        <v>4</v>
      </c>
      <c r="M14" s="94" t="s">
        <v>326</v>
      </c>
      <c r="N14" s="89" t="s">
        <v>75</v>
      </c>
    </row>
    <row r="15" spans="1:14" ht="15" x14ac:dyDescent="0.2">
      <c r="A15" s="93" t="s">
        <v>32</v>
      </c>
      <c r="B15" s="94">
        <v>6</v>
      </c>
      <c r="C15" s="94" t="s">
        <v>326</v>
      </c>
      <c r="D15" s="94">
        <v>2</v>
      </c>
      <c r="E15" s="94" t="s">
        <v>326</v>
      </c>
      <c r="F15" s="94">
        <v>5</v>
      </c>
      <c r="G15" s="94" t="s">
        <v>326</v>
      </c>
      <c r="H15" s="94">
        <v>3</v>
      </c>
      <c r="I15" s="94" t="s">
        <v>326</v>
      </c>
      <c r="J15" s="94">
        <v>5</v>
      </c>
      <c r="K15" s="94" t="s">
        <v>326</v>
      </c>
      <c r="L15" s="94">
        <v>5</v>
      </c>
      <c r="M15" s="94" t="s">
        <v>326</v>
      </c>
      <c r="N15" s="89" t="s">
        <v>75</v>
      </c>
    </row>
    <row r="16" spans="1:14" ht="15" x14ac:dyDescent="0.2">
      <c r="A16" s="93" t="s">
        <v>108</v>
      </c>
      <c r="B16" s="94">
        <v>9</v>
      </c>
      <c r="C16" s="94" t="s">
        <v>326</v>
      </c>
      <c r="D16" s="94">
        <v>16</v>
      </c>
      <c r="E16" s="94" t="s">
        <v>326</v>
      </c>
      <c r="F16" s="94">
        <v>9</v>
      </c>
      <c r="G16" s="94" t="s">
        <v>326</v>
      </c>
      <c r="H16" s="94">
        <v>8</v>
      </c>
      <c r="I16" s="94" t="s">
        <v>326</v>
      </c>
      <c r="J16" s="94">
        <v>9</v>
      </c>
      <c r="K16" s="94" t="s">
        <v>326</v>
      </c>
      <c r="L16" s="94">
        <v>5</v>
      </c>
      <c r="M16" s="94" t="s">
        <v>326</v>
      </c>
      <c r="N16" s="89" t="s">
        <v>75</v>
      </c>
    </row>
    <row r="17" spans="1:14" ht="15" x14ac:dyDescent="0.2">
      <c r="A17" s="93" t="s">
        <v>107</v>
      </c>
      <c r="B17" s="94">
        <v>15</v>
      </c>
      <c r="C17" s="94" t="s">
        <v>326</v>
      </c>
      <c r="D17" s="94">
        <v>9</v>
      </c>
      <c r="E17" s="94" t="s">
        <v>326</v>
      </c>
      <c r="F17" s="94">
        <v>7</v>
      </c>
      <c r="G17" s="94" t="s">
        <v>326</v>
      </c>
      <c r="H17" s="94">
        <v>7</v>
      </c>
      <c r="I17" s="94" t="s">
        <v>326</v>
      </c>
      <c r="J17" s="94">
        <v>5</v>
      </c>
      <c r="K17" s="94" t="s">
        <v>326</v>
      </c>
      <c r="L17" s="94">
        <v>5</v>
      </c>
      <c r="M17" s="94" t="s">
        <v>326</v>
      </c>
      <c r="N17" s="89" t="s">
        <v>75</v>
      </c>
    </row>
    <row r="18" spans="1:14" ht="15" x14ac:dyDescent="0.2">
      <c r="A18" s="93" t="s">
        <v>104</v>
      </c>
      <c r="B18" s="94">
        <v>24</v>
      </c>
      <c r="C18" s="94" t="s">
        <v>326</v>
      </c>
      <c r="D18" s="94">
        <v>22</v>
      </c>
      <c r="E18" s="94" t="s">
        <v>326</v>
      </c>
      <c r="F18" s="94">
        <v>29</v>
      </c>
      <c r="G18" s="94" t="s">
        <v>326</v>
      </c>
      <c r="H18" s="94">
        <v>14</v>
      </c>
      <c r="I18" s="94" t="s">
        <v>326</v>
      </c>
      <c r="J18" s="94">
        <v>8</v>
      </c>
      <c r="K18" s="94" t="s">
        <v>326</v>
      </c>
      <c r="L18" s="94">
        <v>5</v>
      </c>
      <c r="M18" s="94" t="s">
        <v>326</v>
      </c>
      <c r="N18" s="89" t="s">
        <v>75</v>
      </c>
    </row>
    <row r="19" spans="1:14" ht="15" x14ac:dyDescent="0.2">
      <c r="A19" s="93" t="s">
        <v>39</v>
      </c>
      <c r="B19" s="94">
        <v>8</v>
      </c>
      <c r="C19" s="94" t="s">
        <v>326</v>
      </c>
      <c r="D19" s="94">
        <v>8</v>
      </c>
      <c r="E19" s="94" t="s">
        <v>326</v>
      </c>
      <c r="F19" s="94">
        <v>7</v>
      </c>
      <c r="G19" s="94" t="s">
        <v>326</v>
      </c>
      <c r="H19" s="94">
        <v>8</v>
      </c>
      <c r="I19" s="94" t="s">
        <v>326</v>
      </c>
      <c r="J19" s="94">
        <v>8</v>
      </c>
      <c r="K19" s="94" t="s">
        <v>326</v>
      </c>
      <c r="L19" s="94">
        <v>6</v>
      </c>
      <c r="M19" s="94" t="s">
        <v>326</v>
      </c>
      <c r="N19" s="89" t="s">
        <v>75</v>
      </c>
    </row>
    <row r="20" spans="1:14" ht="15" x14ac:dyDescent="0.2">
      <c r="A20" s="93" t="s">
        <v>102</v>
      </c>
      <c r="B20" s="94">
        <v>10</v>
      </c>
      <c r="C20" s="94" t="s">
        <v>326</v>
      </c>
      <c r="D20" s="94">
        <v>10</v>
      </c>
      <c r="E20" s="94" t="s">
        <v>326</v>
      </c>
      <c r="F20" s="94">
        <v>9</v>
      </c>
      <c r="G20" s="94" t="s">
        <v>326</v>
      </c>
      <c r="H20" s="94">
        <v>7</v>
      </c>
      <c r="I20" s="94" t="s">
        <v>326</v>
      </c>
      <c r="J20" s="94">
        <v>7</v>
      </c>
      <c r="K20" s="94" t="s">
        <v>326</v>
      </c>
      <c r="L20" s="94">
        <v>6</v>
      </c>
      <c r="M20" s="94" t="s">
        <v>326</v>
      </c>
      <c r="N20" s="89" t="s">
        <v>75</v>
      </c>
    </row>
    <row r="21" spans="1:14" ht="15" x14ac:dyDescent="0.2">
      <c r="A21" s="93" t="s">
        <v>124</v>
      </c>
      <c r="B21" s="94">
        <v>11</v>
      </c>
      <c r="C21" s="94" t="s">
        <v>326</v>
      </c>
      <c r="D21" s="94">
        <v>11</v>
      </c>
      <c r="E21" s="94" t="s">
        <v>326</v>
      </c>
      <c r="F21" s="94">
        <v>15</v>
      </c>
      <c r="G21" s="94" t="s">
        <v>326</v>
      </c>
      <c r="H21" s="94">
        <v>10</v>
      </c>
      <c r="I21" s="94" t="s">
        <v>326</v>
      </c>
      <c r="J21" s="94">
        <v>7</v>
      </c>
      <c r="K21" s="94" t="s">
        <v>326</v>
      </c>
      <c r="L21" s="94">
        <v>6</v>
      </c>
      <c r="M21" s="94" t="s">
        <v>326</v>
      </c>
      <c r="N21" s="89" t="s">
        <v>75</v>
      </c>
    </row>
    <row r="22" spans="1:14" ht="15" x14ac:dyDescent="0.2">
      <c r="A22" s="93" t="s">
        <v>123</v>
      </c>
      <c r="B22" s="94">
        <v>8</v>
      </c>
      <c r="C22" s="94" t="s">
        <v>327</v>
      </c>
      <c r="D22" s="94">
        <v>9</v>
      </c>
      <c r="E22" s="94" t="s">
        <v>327</v>
      </c>
      <c r="F22" s="94">
        <v>10</v>
      </c>
      <c r="G22" s="94" t="s">
        <v>327</v>
      </c>
      <c r="H22" s="94">
        <v>8</v>
      </c>
      <c r="I22" s="94" t="s">
        <v>327</v>
      </c>
      <c r="J22" s="94">
        <v>7</v>
      </c>
      <c r="K22" s="94" t="s">
        <v>327</v>
      </c>
      <c r="L22" s="94">
        <v>7</v>
      </c>
      <c r="M22" s="94" t="s">
        <v>327</v>
      </c>
      <c r="N22" s="89" t="s">
        <v>75</v>
      </c>
    </row>
    <row r="23" spans="1:14" ht="15" x14ac:dyDescent="0.2">
      <c r="A23" s="93" t="s">
        <v>36</v>
      </c>
      <c r="B23" s="94">
        <v>11</v>
      </c>
      <c r="C23" s="94" t="s">
        <v>326</v>
      </c>
      <c r="D23" s="94">
        <v>11</v>
      </c>
      <c r="E23" s="94" t="s">
        <v>326</v>
      </c>
      <c r="F23" s="94">
        <v>12</v>
      </c>
      <c r="G23" s="94" t="s">
        <v>326</v>
      </c>
      <c r="H23" s="94">
        <v>15</v>
      </c>
      <c r="I23" s="94" t="s">
        <v>326</v>
      </c>
      <c r="J23" s="94">
        <v>8</v>
      </c>
      <c r="K23" s="94" t="s">
        <v>326</v>
      </c>
      <c r="L23" s="94">
        <v>7</v>
      </c>
      <c r="M23" s="94" t="s">
        <v>326</v>
      </c>
      <c r="N23" s="89" t="s">
        <v>75</v>
      </c>
    </row>
    <row r="24" spans="1:14" ht="15" x14ac:dyDescent="0.2">
      <c r="A24" s="93" t="s">
        <v>82</v>
      </c>
      <c r="B24" s="94">
        <v>13</v>
      </c>
      <c r="C24" s="94" t="s">
        <v>326</v>
      </c>
      <c r="D24" s="94">
        <v>8</v>
      </c>
      <c r="E24" s="94" t="s">
        <v>326</v>
      </c>
      <c r="F24" s="94">
        <v>7</v>
      </c>
      <c r="G24" s="94" t="s">
        <v>326</v>
      </c>
      <c r="H24" s="94">
        <v>7</v>
      </c>
      <c r="I24" s="94" t="s">
        <v>326</v>
      </c>
      <c r="J24" s="94">
        <v>7</v>
      </c>
      <c r="K24" s="94" t="s">
        <v>326</v>
      </c>
      <c r="L24" s="94">
        <v>7</v>
      </c>
      <c r="M24" s="94" t="s">
        <v>326</v>
      </c>
      <c r="N24" s="89" t="s">
        <v>75</v>
      </c>
    </row>
    <row r="25" spans="1:14" ht="15" x14ac:dyDescent="0.2">
      <c r="A25" s="93" t="s">
        <v>35</v>
      </c>
      <c r="B25" s="94">
        <v>15</v>
      </c>
      <c r="C25" s="94" t="s">
        <v>326</v>
      </c>
      <c r="D25" s="94">
        <v>10</v>
      </c>
      <c r="E25" s="94" t="s">
        <v>326</v>
      </c>
      <c r="F25" s="94">
        <v>12</v>
      </c>
      <c r="G25" s="94" t="s">
        <v>326</v>
      </c>
      <c r="H25" s="94">
        <v>6</v>
      </c>
      <c r="I25" s="94" t="s">
        <v>326</v>
      </c>
      <c r="J25" s="94">
        <v>7</v>
      </c>
      <c r="K25" s="94" t="s">
        <v>326</v>
      </c>
      <c r="L25" s="94">
        <v>7</v>
      </c>
      <c r="M25" s="94" t="s">
        <v>326</v>
      </c>
      <c r="N25" s="89" t="s">
        <v>75</v>
      </c>
    </row>
    <row r="26" spans="1:14" ht="15" x14ac:dyDescent="0.2">
      <c r="A26" s="93" t="s">
        <v>328</v>
      </c>
      <c r="B26" s="94">
        <v>15</v>
      </c>
      <c r="C26" s="94" t="s">
        <v>326</v>
      </c>
      <c r="D26" s="94">
        <v>13</v>
      </c>
      <c r="E26" s="94" t="s">
        <v>326</v>
      </c>
      <c r="F26" s="94">
        <v>15</v>
      </c>
      <c r="G26" s="94" t="s">
        <v>326</v>
      </c>
      <c r="H26" s="94">
        <v>14</v>
      </c>
      <c r="I26" s="94" t="s">
        <v>326</v>
      </c>
      <c r="J26" s="94">
        <v>7</v>
      </c>
      <c r="K26" s="94" t="s">
        <v>326</v>
      </c>
      <c r="L26" s="94">
        <v>7</v>
      </c>
      <c r="M26" s="94" t="s">
        <v>326</v>
      </c>
      <c r="N26" s="89" t="s">
        <v>75</v>
      </c>
    </row>
    <row r="27" spans="1:14" ht="15" x14ac:dyDescent="0.2">
      <c r="A27" s="93" t="s">
        <v>95</v>
      </c>
      <c r="B27" s="94">
        <v>10</v>
      </c>
      <c r="C27" s="94" t="s">
        <v>326</v>
      </c>
      <c r="D27" s="94">
        <v>11</v>
      </c>
      <c r="E27" s="94" t="s">
        <v>326</v>
      </c>
      <c r="F27" s="94">
        <v>11</v>
      </c>
      <c r="G27" s="94" t="s">
        <v>326</v>
      </c>
      <c r="H27" s="94">
        <v>12</v>
      </c>
      <c r="I27" s="94" t="s">
        <v>326</v>
      </c>
      <c r="J27" s="94">
        <v>11</v>
      </c>
      <c r="K27" s="94" t="s">
        <v>326</v>
      </c>
      <c r="L27" s="94">
        <v>8</v>
      </c>
      <c r="M27" s="94" t="s">
        <v>326</v>
      </c>
      <c r="N27" s="89" t="s">
        <v>75</v>
      </c>
    </row>
    <row r="28" spans="1:14" ht="15" x14ac:dyDescent="0.2">
      <c r="A28" s="93" t="s">
        <v>127</v>
      </c>
      <c r="B28" s="94">
        <v>15</v>
      </c>
      <c r="C28" s="94" t="s">
        <v>326</v>
      </c>
      <c r="D28" s="94">
        <v>10</v>
      </c>
      <c r="E28" s="94" t="s">
        <v>326</v>
      </c>
      <c r="F28" s="94">
        <v>11</v>
      </c>
      <c r="G28" s="94" t="s">
        <v>326</v>
      </c>
      <c r="H28" s="94">
        <v>11</v>
      </c>
      <c r="I28" s="94" t="s">
        <v>326</v>
      </c>
      <c r="J28" s="94">
        <v>11</v>
      </c>
      <c r="K28" s="94" t="s">
        <v>326</v>
      </c>
      <c r="L28" s="94">
        <v>8</v>
      </c>
      <c r="M28" s="94" t="s">
        <v>326</v>
      </c>
      <c r="N28" s="89" t="s">
        <v>75</v>
      </c>
    </row>
    <row r="29" spans="1:14" ht="15" x14ac:dyDescent="0.2">
      <c r="A29" s="93" t="s">
        <v>93</v>
      </c>
      <c r="B29" s="94">
        <v>19</v>
      </c>
      <c r="C29" s="94" t="s">
        <v>327</v>
      </c>
      <c r="D29" s="94">
        <v>16</v>
      </c>
      <c r="E29" s="94" t="s">
        <v>327</v>
      </c>
      <c r="F29" s="94">
        <v>11</v>
      </c>
      <c r="G29" s="94" t="s">
        <v>327</v>
      </c>
      <c r="H29" s="94">
        <v>10</v>
      </c>
      <c r="I29" s="94" t="s">
        <v>327</v>
      </c>
      <c r="J29" s="94">
        <v>9</v>
      </c>
      <c r="K29" s="94" t="s">
        <v>327</v>
      </c>
      <c r="L29" s="94">
        <v>8</v>
      </c>
      <c r="M29" s="94" t="s">
        <v>327</v>
      </c>
      <c r="N29" s="89" t="s">
        <v>75</v>
      </c>
    </row>
    <row r="30" spans="1:14" ht="15" x14ac:dyDescent="0.2">
      <c r="A30" s="93" t="s">
        <v>115</v>
      </c>
      <c r="B30" s="94">
        <v>6</v>
      </c>
      <c r="C30" s="94" t="s">
        <v>326</v>
      </c>
      <c r="D30" s="94">
        <v>4</v>
      </c>
      <c r="E30" s="94" t="s">
        <v>326</v>
      </c>
      <c r="F30" s="94">
        <v>6</v>
      </c>
      <c r="G30" s="94" t="s">
        <v>326</v>
      </c>
      <c r="H30" s="94">
        <v>2</v>
      </c>
      <c r="I30" s="94" t="s">
        <v>326</v>
      </c>
      <c r="J30" s="94">
        <v>10</v>
      </c>
      <c r="K30" s="94" t="s">
        <v>326</v>
      </c>
      <c r="L30" s="94">
        <v>9</v>
      </c>
      <c r="M30" s="94" t="s">
        <v>326</v>
      </c>
      <c r="N30" s="89" t="s">
        <v>75</v>
      </c>
    </row>
    <row r="31" spans="1:14" ht="15" x14ac:dyDescent="0.2">
      <c r="A31" s="93" t="s">
        <v>111</v>
      </c>
      <c r="B31" s="94">
        <v>12</v>
      </c>
      <c r="C31" s="94" t="s">
        <v>326</v>
      </c>
      <c r="D31" s="94">
        <v>11</v>
      </c>
      <c r="E31" s="94" t="s">
        <v>326</v>
      </c>
      <c r="F31" s="94">
        <v>10</v>
      </c>
      <c r="G31" s="94" t="s">
        <v>326</v>
      </c>
      <c r="H31" s="94">
        <v>9</v>
      </c>
      <c r="I31" s="94" t="s">
        <v>326</v>
      </c>
      <c r="J31" s="94">
        <v>12</v>
      </c>
      <c r="K31" s="94" t="s">
        <v>326</v>
      </c>
      <c r="L31" s="94">
        <v>9</v>
      </c>
      <c r="M31" s="94" t="s">
        <v>326</v>
      </c>
      <c r="N31" s="89" t="s">
        <v>75</v>
      </c>
    </row>
    <row r="32" spans="1:14" ht="15" x14ac:dyDescent="0.2">
      <c r="A32" s="93" t="s">
        <v>122</v>
      </c>
      <c r="B32" s="94">
        <v>12</v>
      </c>
      <c r="C32" s="94" t="s">
        <v>326</v>
      </c>
      <c r="D32" s="94">
        <v>11</v>
      </c>
      <c r="E32" s="94" t="s">
        <v>326</v>
      </c>
      <c r="F32" s="94">
        <v>11</v>
      </c>
      <c r="G32" s="94" t="s">
        <v>326</v>
      </c>
      <c r="H32" s="94">
        <v>9</v>
      </c>
      <c r="I32" s="94" t="s">
        <v>326</v>
      </c>
      <c r="J32" s="94">
        <v>8</v>
      </c>
      <c r="K32" s="94" t="s">
        <v>326</v>
      </c>
      <c r="L32" s="94">
        <v>9</v>
      </c>
      <c r="M32" s="94" t="s">
        <v>326</v>
      </c>
      <c r="N32" s="89" t="s">
        <v>75</v>
      </c>
    </row>
    <row r="33" spans="1:14" ht="15" x14ac:dyDescent="0.2">
      <c r="A33" s="93" t="s">
        <v>106</v>
      </c>
      <c r="B33" s="94">
        <v>18</v>
      </c>
      <c r="C33" s="94" t="s">
        <v>327</v>
      </c>
      <c r="D33" s="94">
        <v>18</v>
      </c>
      <c r="E33" s="94" t="s">
        <v>327</v>
      </c>
      <c r="F33" s="94">
        <v>16</v>
      </c>
      <c r="G33" s="94" t="s">
        <v>327</v>
      </c>
      <c r="H33" s="94">
        <v>13</v>
      </c>
      <c r="I33" s="94" t="s">
        <v>327</v>
      </c>
      <c r="J33" s="94">
        <v>10</v>
      </c>
      <c r="K33" s="94" t="s">
        <v>327</v>
      </c>
      <c r="L33" s="94">
        <v>10</v>
      </c>
      <c r="M33" s="94" t="s">
        <v>327</v>
      </c>
      <c r="N33" s="89" t="s">
        <v>75</v>
      </c>
    </row>
    <row r="34" spans="1:14" ht="15" x14ac:dyDescent="0.2">
      <c r="A34" s="93" t="s">
        <v>121</v>
      </c>
      <c r="B34" s="94">
        <v>6</v>
      </c>
      <c r="C34" s="94" t="s">
        <v>326</v>
      </c>
      <c r="D34" s="94">
        <v>11</v>
      </c>
      <c r="E34" s="94" t="s">
        <v>326</v>
      </c>
      <c r="F34" s="94">
        <v>11</v>
      </c>
      <c r="G34" s="94" t="s">
        <v>326</v>
      </c>
      <c r="H34" s="94">
        <v>17</v>
      </c>
      <c r="I34" s="94" t="s">
        <v>326</v>
      </c>
      <c r="J34" s="94">
        <v>13</v>
      </c>
      <c r="K34" s="94" t="s">
        <v>326</v>
      </c>
      <c r="L34" s="94">
        <v>11</v>
      </c>
      <c r="M34" s="94" t="s">
        <v>326</v>
      </c>
      <c r="N34" s="89" t="s">
        <v>75</v>
      </c>
    </row>
    <row r="35" spans="1:14" ht="15" x14ac:dyDescent="0.2">
      <c r="A35" s="93" t="s">
        <v>120</v>
      </c>
      <c r="B35" s="94">
        <v>34</v>
      </c>
      <c r="C35" s="94" t="s">
        <v>326</v>
      </c>
      <c r="D35" s="94">
        <v>21</v>
      </c>
      <c r="E35" s="94" t="s">
        <v>326</v>
      </c>
      <c r="F35" s="94">
        <v>20</v>
      </c>
      <c r="G35" s="94" t="s">
        <v>326</v>
      </c>
      <c r="H35" s="94">
        <v>11</v>
      </c>
      <c r="I35" s="94" t="s">
        <v>326</v>
      </c>
      <c r="J35" s="94">
        <v>9</v>
      </c>
      <c r="K35" s="94" t="s">
        <v>326</v>
      </c>
      <c r="L35" s="94">
        <v>11</v>
      </c>
      <c r="M35" s="94" t="s">
        <v>326</v>
      </c>
      <c r="N35" s="89" t="s">
        <v>75</v>
      </c>
    </row>
    <row r="36" spans="1:14" ht="15" x14ac:dyDescent="0.2">
      <c r="A36" s="93" t="s">
        <v>109</v>
      </c>
      <c r="B36" s="94">
        <v>48</v>
      </c>
      <c r="C36" s="94" t="s">
        <v>326</v>
      </c>
      <c r="D36" s="94">
        <v>46</v>
      </c>
      <c r="E36" s="94" t="s">
        <v>326</v>
      </c>
      <c r="F36" s="94">
        <v>26</v>
      </c>
      <c r="G36" s="94" t="s">
        <v>326</v>
      </c>
      <c r="H36" s="94">
        <v>24</v>
      </c>
      <c r="I36" s="94" t="s">
        <v>326</v>
      </c>
      <c r="J36" s="94">
        <v>6</v>
      </c>
      <c r="K36" s="94" t="s">
        <v>326</v>
      </c>
      <c r="L36" s="94">
        <v>11</v>
      </c>
      <c r="M36" s="94" t="s">
        <v>326</v>
      </c>
      <c r="N36" s="89" t="s">
        <v>75</v>
      </c>
    </row>
    <row r="37" spans="1:14" ht="15" x14ac:dyDescent="0.2">
      <c r="A37" s="93" t="s">
        <v>81</v>
      </c>
      <c r="B37" s="94">
        <v>8</v>
      </c>
      <c r="C37" s="94" t="s">
        <v>326</v>
      </c>
      <c r="D37" s="94">
        <v>13</v>
      </c>
      <c r="E37" s="94" t="s">
        <v>326</v>
      </c>
      <c r="F37" s="94">
        <v>11</v>
      </c>
      <c r="G37" s="94" t="s">
        <v>326</v>
      </c>
      <c r="H37" s="94">
        <v>14</v>
      </c>
      <c r="I37" s="94" t="s">
        <v>326</v>
      </c>
      <c r="J37" s="94">
        <v>15</v>
      </c>
      <c r="K37" s="94" t="s">
        <v>326</v>
      </c>
      <c r="L37" s="94">
        <v>13</v>
      </c>
      <c r="M37" s="94" t="s">
        <v>326</v>
      </c>
      <c r="N37" s="89" t="s">
        <v>75</v>
      </c>
    </row>
    <row r="38" spans="1:14" ht="15" x14ac:dyDescent="0.2">
      <c r="A38" s="93" t="s">
        <v>119</v>
      </c>
      <c r="B38" s="94">
        <v>57</v>
      </c>
      <c r="C38" s="94" t="s">
        <v>326</v>
      </c>
      <c r="D38" s="94">
        <v>58</v>
      </c>
      <c r="E38" s="94" t="s">
        <v>326</v>
      </c>
      <c r="F38" s="94">
        <v>42</v>
      </c>
      <c r="G38" s="94" t="s">
        <v>326</v>
      </c>
      <c r="H38" s="94">
        <v>21</v>
      </c>
      <c r="I38" s="94" t="s">
        <v>326</v>
      </c>
      <c r="J38" s="94">
        <v>29</v>
      </c>
      <c r="K38" s="94" t="s">
        <v>326</v>
      </c>
      <c r="L38" s="94">
        <v>13</v>
      </c>
      <c r="M38" s="94" t="s">
        <v>326</v>
      </c>
      <c r="N38" s="89" t="s">
        <v>75</v>
      </c>
    </row>
    <row r="39" spans="1:14" ht="15" x14ac:dyDescent="0.2">
      <c r="A39" s="93" t="s">
        <v>113</v>
      </c>
      <c r="B39" s="94">
        <v>23</v>
      </c>
      <c r="C39" s="94" t="s">
        <v>326</v>
      </c>
      <c r="D39" s="94">
        <v>23</v>
      </c>
      <c r="E39" s="94" t="s">
        <v>326</v>
      </c>
      <c r="F39" s="94">
        <v>10</v>
      </c>
      <c r="G39" s="94" t="s">
        <v>326</v>
      </c>
      <c r="H39" s="94">
        <v>13</v>
      </c>
      <c r="I39" s="94" t="s">
        <v>326</v>
      </c>
      <c r="J39" s="94">
        <v>21</v>
      </c>
      <c r="K39" s="94" t="s">
        <v>326</v>
      </c>
      <c r="L39" s="94">
        <v>14</v>
      </c>
      <c r="M39" s="94" t="s">
        <v>326</v>
      </c>
      <c r="N39" s="89" t="s">
        <v>75</v>
      </c>
    </row>
    <row r="40" spans="1:14" ht="15" x14ac:dyDescent="0.2">
      <c r="A40" s="93" t="s">
        <v>34</v>
      </c>
      <c r="B40" s="94">
        <v>18</v>
      </c>
      <c r="C40" s="94" t="s">
        <v>326</v>
      </c>
      <c r="D40" s="94">
        <v>20</v>
      </c>
      <c r="E40" s="94" t="s">
        <v>326</v>
      </c>
      <c r="F40" s="94">
        <v>7</v>
      </c>
      <c r="G40" s="94" t="s">
        <v>326</v>
      </c>
      <c r="H40" s="94">
        <v>8</v>
      </c>
      <c r="I40" s="94" t="s">
        <v>326</v>
      </c>
      <c r="J40" s="94">
        <v>14</v>
      </c>
      <c r="K40" s="94" t="s">
        <v>326</v>
      </c>
      <c r="L40" s="94">
        <v>16</v>
      </c>
      <c r="M40" s="94" t="s">
        <v>326</v>
      </c>
      <c r="N40" s="89" t="s">
        <v>75</v>
      </c>
    </row>
    <row r="41" spans="1:14" ht="15" x14ac:dyDescent="0.2">
      <c r="A41" s="93" t="s">
        <v>41</v>
      </c>
      <c r="B41" s="94">
        <v>48</v>
      </c>
      <c r="C41" s="94" t="s">
        <v>327</v>
      </c>
      <c r="D41" s="94">
        <v>39</v>
      </c>
      <c r="E41" s="94" t="s">
        <v>327</v>
      </c>
      <c r="F41" s="94">
        <v>33</v>
      </c>
      <c r="G41" s="94" t="s">
        <v>327</v>
      </c>
      <c r="H41" s="94">
        <v>27</v>
      </c>
      <c r="I41" s="94" t="s">
        <v>327</v>
      </c>
      <c r="J41" s="94">
        <v>22</v>
      </c>
      <c r="K41" s="94" t="s">
        <v>327</v>
      </c>
      <c r="L41" s="94">
        <v>20</v>
      </c>
      <c r="M41" s="94" t="s">
        <v>327</v>
      </c>
      <c r="N41" s="89" t="s">
        <v>75</v>
      </c>
    </row>
    <row r="42" spans="1:14" ht="15" x14ac:dyDescent="0.2">
      <c r="A42" s="93" t="s">
        <v>97</v>
      </c>
      <c r="B42" s="94">
        <v>31</v>
      </c>
      <c r="C42" s="94" t="s">
        <v>327</v>
      </c>
      <c r="D42" s="94">
        <v>29</v>
      </c>
      <c r="E42" s="94" t="s">
        <v>327</v>
      </c>
      <c r="F42" s="94">
        <v>28</v>
      </c>
      <c r="G42" s="94" t="s">
        <v>327</v>
      </c>
      <c r="H42" s="94">
        <v>24</v>
      </c>
      <c r="I42" s="94" t="s">
        <v>327</v>
      </c>
      <c r="J42" s="94">
        <v>21</v>
      </c>
      <c r="K42" s="94" t="s">
        <v>327</v>
      </c>
      <c r="L42" s="94">
        <v>21</v>
      </c>
      <c r="M42" s="94" t="s">
        <v>327</v>
      </c>
      <c r="N42" s="89" t="s">
        <v>75</v>
      </c>
    </row>
    <row r="43" spans="1:14" ht="15" x14ac:dyDescent="0.2">
      <c r="A43" s="93" t="s">
        <v>128</v>
      </c>
      <c r="B43" s="94">
        <v>61</v>
      </c>
      <c r="C43" s="94" t="s">
        <v>326</v>
      </c>
      <c r="D43" s="94">
        <v>59</v>
      </c>
      <c r="E43" s="94" t="s">
        <v>326</v>
      </c>
      <c r="F43" s="94">
        <v>39</v>
      </c>
      <c r="G43" s="94" t="s">
        <v>326</v>
      </c>
      <c r="H43" s="94">
        <v>25</v>
      </c>
      <c r="I43" s="94" t="s">
        <v>326</v>
      </c>
      <c r="J43" s="94">
        <v>41</v>
      </c>
      <c r="K43" s="94" t="s">
        <v>326</v>
      </c>
      <c r="L43" s="94">
        <v>21</v>
      </c>
      <c r="M43" s="94" t="s">
        <v>326</v>
      </c>
      <c r="N43" s="89" t="s">
        <v>75</v>
      </c>
    </row>
    <row r="44" spans="1:14" ht="15" x14ac:dyDescent="0.2">
      <c r="A44" s="93" t="s">
        <v>42</v>
      </c>
      <c r="B44" s="94">
        <v>49</v>
      </c>
      <c r="C44" s="94" t="s">
        <v>326</v>
      </c>
      <c r="D44" s="94">
        <v>45</v>
      </c>
      <c r="E44" s="94" t="s">
        <v>326</v>
      </c>
      <c r="F44" s="94">
        <v>35</v>
      </c>
      <c r="G44" s="94" t="s">
        <v>326</v>
      </c>
      <c r="H44" s="94">
        <v>25</v>
      </c>
      <c r="I44" s="94" t="s">
        <v>326</v>
      </c>
      <c r="J44" s="94">
        <v>29</v>
      </c>
      <c r="K44" s="94" t="s">
        <v>326</v>
      </c>
      <c r="L44" s="94">
        <v>23</v>
      </c>
      <c r="M44" s="94" t="s">
        <v>326</v>
      </c>
      <c r="N44" s="89" t="s">
        <v>75</v>
      </c>
    </row>
    <row r="45" spans="1:14" ht="15" x14ac:dyDescent="0.2">
      <c r="A45" s="93" t="s">
        <v>130</v>
      </c>
      <c r="B45" s="94">
        <v>74</v>
      </c>
      <c r="C45" s="94" t="s">
        <v>326</v>
      </c>
      <c r="D45" s="94">
        <v>72</v>
      </c>
      <c r="E45" s="94" t="s">
        <v>326</v>
      </c>
      <c r="F45" s="94">
        <v>57</v>
      </c>
      <c r="G45" s="94" t="s">
        <v>326</v>
      </c>
      <c r="H45" s="94">
        <v>37</v>
      </c>
      <c r="I45" s="94" t="s">
        <v>326</v>
      </c>
      <c r="J45" s="94">
        <v>31</v>
      </c>
      <c r="K45" s="94" t="s">
        <v>326</v>
      </c>
      <c r="L45" s="94">
        <v>24</v>
      </c>
      <c r="M45" s="94" t="s">
        <v>326</v>
      </c>
      <c r="N45" s="89" t="s">
        <v>75</v>
      </c>
    </row>
    <row r="46" spans="1:14" ht="15" x14ac:dyDescent="0.2">
      <c r="A46" s="93" t="s">
        <v>100</v>
      </c>
      <c r="B46" s="94">
        <v>60</v>
      </c>
      <c r="C46" s="94" t="s">
        <v>327</v>
      </c>
      <c r="D46" s="94">
        <v>83</v>
      </c>
      <c r="E46" s="94" t="s">
        <v>327</v>
      </c>
      <c r="F46" s="94">
        <v>57</v>
      </c>
      <c r="G46" s="94" t="s">
        <v>327</v>
      </c>
      <c r="H46" s="94">
        <v>36</v>
      </c>
      <c r="I46" s="94" t="s">
        <v>327</v>
      </c>
      <c r="J46" s="94">
        <v>27</v>
      </c>
      <c r="K46" s="94" t="s">
        <v>327</v>
      </c>
      <c r="L46" s="94">
        <v>26</v>
      </c>
      <c r="M46" s="94" t="s">
        <v>327</v>
      </c>
      <c r="N46" s="89" t="s">
        <v>75</v>
      </c>
    </row>
    <row r="47" spans="1:14" ht="15" x14ac:dyDescent="0.2">
      <c r="A47" s="93" t="s">
        <v>118</v>
      </c>
      <c r="B47" s="94">
        <v>91</v>
      </c>
      <c r="C47" s="94" t="s">
        <v>326</v>
      </c>
      <c r="D47" s="94">
        <v>91</v>
      </c>
      <c r="E47" s="94" t="s">
        <v>326</v>
      </c>
      <c r="F47" s="94">
        <v>71</v>
      </c>
      <c r="G47" s="94" t="s">
        <v>326</v>
      </c>
      <c r="H47" s="94">
        <v>50</v>
      </c>
      <c r="I47" s="94" t="s">
        <v>326</v>
      </c>
      <c r="J47" s="94">
        <v>40</v>
      </c>
      <c r="K47" s="94" t="s">
        <v>326</v>
      </c>
      <c r="L47" s="94">
        <v>26</v>
      </c>
      <c r="M47" s="94" t="s">
        <v>326</v>
      </c>
      <c r="N47" s="89" t="s">
        <v>75</v>
      </c>
    </row>
    <row r="48" spans="1:14" ht="15" x14ac:dyDescent="0.2">
      <c r="A48" s="93" t="s">
        <v>98</v>
      </c>
      <c r="B48" s="94">
        <v>47</v>
      </c>
      <c r="C48" s="94" t="s">
        <v>327</v>
      </c>
      <c r="D48" s="94">
        <v>51</v>
      </c>
      <c r="E48" s="94" t="s">
        <v>327</v>
      </c>
      <c r="F48" s="94">
        <v>43</v>
      </c>
      <c r="G48" s="94" t="s">
        <v>327</v>
      </c>
      <c r="H48" s="94">
        <v>37</v>
      </c>
      <c r="I48" s="94" t="s">
        <v>327</v>
      </c>
      <c r="J48" s="94">
        <v>31</v>
      </c>
      <c r="K48" s="94" t="s">
        <v>327</v>
      </c>
      <c r="L48" s="94">
        <v>29</v>
      </c>
      <c r="M48" s="94" t="s">
        <v>327</v>
      </c>
      <c r="N48" s="89" t="s">
        <v>75</v>
      </c>
    </row>
    <row r="49" spans="1:19" ht="15" x14ac:dyDescent="0.2">
      <c r="A49" s="93" t="s">
        <v>129</v>
      </c>
      <c r="B49" s="94">
        <v>170</v>
      </c>
      <c r="C49" s="94" t="s">
        <v>326</v>
      </c>
      <c r="D49" s="94">
        <v>72</v>
      </c>
      <c r="E49" s="94" t="s">
        <v>326</v>
      </c>
      <c r="F49" s="94">
        <v>53</v>
      </c>
      <c r="G49" s="94" t="s">
        <v>326</v>
      </c>
      <c r="H49" s="94">
        <v>30</v>
      </c>
      <c r="I49" s="94" t="s">
        <v>326</v>
      </c>
      <c r="J49" s="94">
        <v>30</v>
      </c>
      <c r="K49" s="94" t="s">
        <v>326</v>
      </c>
      <c r="L49" s="94">
        <v>33</v>
      </c>
      <c r="M49" s="94" t="s">
        <v>326</v>
      </c>
      <c r="N49" s="89" t="s">
        <v>75</v>
      </c>
    </row>
    <row r="50" spans="1:19" ht="15" x14ac:dyDescent="0.2">
      <c r="A50" s="93" t="s">
        <v>155</v>
      </c>
      <c r="B50" s="94">
        <v>66</v>
      </c>
      <c r="C50" s="94" t="s">
        <v>326</v>
      </c>
      <c r="D50" s="94">
        <v>54</v>
      </c>
      <c r="E50" s="94" t="s">
        <v>326</v>
      </c>
      <c r="F50" s="94">
        <v>48</v>
      </c>
      <c r="G50" s="94" t="s">
        <v>326</v>
      </c>
      <c r="H50" s="94">
        <v>44</v>
      </c>
      <c r="I50" s="94" t="s">
        <v>326</v>
      </c>
      <c r="J50" s="94">
        <v>40</v>
      </c>
      <c r="K50" s="94" t="s">
        <v>326</v>
      </c>
      <c r="L50" s="94">
        <v>36</v>
      </c>
      <c r="M50" s="94" t="s">
        <v>326</v>
      </c>
      <c r="N50" s="89" t="s">
        <v>75</v>
      </c>
    </row>
    <row r="51" spans="1:19" ht="15" x14ac:dyDescent="0.2">
      <c r="A51" s="93" t="s">
        <v>94</v>
      </c>
      <c r="B51" s="94">
        <v>50</v>
      </c>
      <c r="C51" s="94" t="s">
        <v>327</v>
      </c>
      <c r="D51" s="94">
        <v>67</v>
      </c>
      <c r="E51" s="94" t="s">
        <v>327</v>
      </c>
      <c r="F51" s="94">
        <v>60</v>
      </c>
      <c r="G51" s="94" t="s">
        <v>327</v>
      </c>
      <c r="H51" s="94">
        <v>48</v>
      </c>
      <c r="I51" s="94" t="s">
        <v>327</v>
      </c>
      <c r="J51" s="94">
        <v>42</v>
      </c>
      <c r="K51" s="94" t="s">
        <v>327</v>
      </c>
      <c r="L51" s="94">
        <v>41</v>
      </c>
      <c r="M51" s="94" t="s">
        <v>327</v>
      </c>
      <c r="N51" s="89" t="s">
        <v>75</v>
      </c>
    </row>
    <row r="52" spans="1:19" ht="15" x14ac:dyDescent="0.2">
      <c r="A52" s="93" t="s">
        <v>40</v>
      </c>
      <c r="B52" s="94">
        <v>68</v>
      </c>
      <c r="C52" s="94" t="s">
        <v>327</v>
      </c>
      <c r="D52" s="94">
        <v>120</v>
      </c>
      <c r="E52" s="94" t="s">
        <v>327</v>
      </c>
      <c r="F52" s="94">
        <v>89</v>
      </c>
      <c r="G52" s="94" t="s">
        <v>327</v>
      </c>
      <c r="H52" s="94">
        <v>59</v>
      </c>
      <c r="I52" s="94" t="s">
        <v>327</v>
      </c>
      <c r="J52" s="94">
        <v>48</v>
      </c>
      <c r="K52" s="94" t="s">
        <v>327</v>
      </c>
      <c r="L52" s="94">
        <v>44</v>
      </c>
      <c r="M52" s="94" t="s">
        <v>327</v>
      </c>
      <c r="N52" s="89" t="s">
        <v>75</v>
      </c>
    </row>
    <row r="53" spans="1:19" ht="15" x14ac:dyDescent="0.2">
      <c r="A53" s="93" t="s">
        <v>83</v>
      </c>
      <c r="B53" s="94">
        <v>66</v>
      </c>
      <c r="C53" s="94" t="s">
        <v>327</v>
      </c>
      <c r="D53" s="94">
        <v>79</v>
      </c>
      <c r="E53" s="94" t="s">
        <v>327</v>
      </c>
      <c r="F53" s="94">
        <v>81</v>
      </c>
      <c r="G53" s="94" t="s">
        <v>327</v>
      </c>
      <c r="H53" s="94">
        <v>76</v>
      </c>
      <c r="I53" s="94" t="s">
        <v>327</v>
      </c>
      <c r="J53" s="94">
        <v>65</v>
      </c>
      <c r="K53" s="94" t="s">
        <v>327</v>
      </c>
      <c r="L53" s="94">
        <v>61</v>
      </c>
      <c r="M53" s="94" t="s">
        <v>327</v>
      </c>
      <c r="N53" s="89" t="s">
        <v>75</v>
      </c>
    </row>
    <row r="54" spans="1:19" ht="15" x14ac:dyDescent="0.2">
      <c r="A54" s="93" t="s">
        <v>22</v>
      </c>
      <c r="B54" s="94">
        <v>85</v>
      </c>
      <c r="C54" s="94" t="s">
        <v>327</v>
      </c>
      <c r="D54" s="94">
        <v>120</v>
      </c>
      <c r="E54" s="94" t="s">
        <v>327</v>
      </c>
      <c r="F54" s="94">
        <v>100</v>
      </c>
      <c r="G54" s="94" t="s">
        <v>327</v>
      </c>
      <c r="H54" s="94">
        <v>92</v>
      </c>
      <c r="I54" s="94" t="s">
        <v>327</v>
      </c>
      <c r="J54" s="94">
        <v>79</v>
      </c>
      <c r="K54" s="94" t="s">
        <v>327</v>
      </c>
      <c r="L54" s="94">
        <v>75</v>
      </c>
      <c r="M54" s="94" t="s">
        <v>327</v>
      </c>
      <c r="N54" s="89" t="s">
        <v>75</v>
      </c>
    </row>
    <row r="56" spans="1:19" x14ac:dyDescent="0.15">
      <c r="N56" s="243" t="s">
        <v>397</v>
      </c>
      <c r="O56" s="244"/>
      <c r="P56" s="244"/>
      <c r="Q56" s="244"/>
      <c r="R56" s="244"/>
      <c r="S56" s="245"/>
    </row>
    <row r="57" spans="1:19" ht="15" x14ac:dyDescent="0.2">
      <c r="A57" s="93" t="s">
        <v>323</v>
      </c>
      <c r="B57" s="94"/>
      <c r="C57" s="94"/>
      <c r="D57" s="94"/>
      <c r="E57" s="94"/>
      <c r="F57" s="94"/>
      <c r="G57" s="94"/>
      <c r="H57" s="94"/>
      <c r="I57" s="94"/>
      <c r="J57" s="94"/>
      <c r="K57" s="94"/>
      <c r="L57" s="94"/>
      <c r="M57" s="94"/>
      <c r="N57" s="246"/>
      <c r="O57" s="247"/>
      <c r="P57" s="247"/>
      <c r="Q57" s="247"/>
      <c r="R57" s="247"/>
      <c r="S57" s="248"/>
    </row>
    <row r="58" spans="1:19" ht="15" x14ac:dyDescent="0.2">
      <c r="A58" s="95" t="s">
        <v>177</v>
      </c>
      <c r="B58" s="94"/>
      <c r="C58" s="94"/>
      <c r="D58" s="94"/>
      <c r="E58" s="94"/>
      <c r="F58" s="94"/>
      <c r="G58" s="94"/>
      <c r="H58" s="94"/>
      <c r="I58" s="94"/>
      <c r="J58" s="94"/>
      <c r="K58" s="94"/>
      <c r="L58" s="94"/>
      <c r="M58" s="94"/>
      <c r="N58" s="246"/>
      <c r="O58" s="247"/>
      <c r="P58" s="247"/>
      <c r="Q58" s="247"/>
      <c r="R58" s="247"/>
      <c r="S58" s="248"/>
    </row>
    <row r="59" spans="1:19" ht="15" x14ac:dyDescent="0.2">
      <c r="A59" s="94" t="s">
        <v>383</v>
      </c>
      <c r="B59" s="94"/>
      <c r="C59" s="94"/>
      <c r="D59" s="94"/>
      <c r="E59" s="94"/>
      <c r="F59" s="94"/>
      <c r="G59" s="94"/>
      <c r="H59" s="94"/>
      <c r="I59" s="94"/>
      <c r="J59" s="94"/>
      <c r="K59" s="94"/>
      <c r="L59" s="94"/>
      <c r="M59" s="94"/>
      <c r="N59" s="246"/>
      <c r="O59" s="247"/>
      <c r="P59" s="247"/>
      <c r="Q59" s="247"/>
      <c r="R59" s="247"/>
      <c r="S59" s="248"/>
    </row>
    <row r="60" spans="1:19" ht="15" x14ac:dyDescent="0.2">
      <c r="A60" s="94"/>
      <c r="B60" s="94"/>
      <c r="C60" s="94"/>
      <c r="D60" s="94"/>
      <c r="E60" s="94"/>
      <c r="F60" s="94"/>
      <c r="G60" s="94"/>
      <c r="H60" s="94"/>
      <c r="I60" s="94"/>
      <c r="J60" s="94"/>
      <c r="K60" s="94"/>
      <c r="L60" s="94"/>
      <c r="M60" s="94"/>
      <c r="N60" s="246"/>
      <c r="O60" s="247"/>
      <c r="P60" s="247"/>
      <c r="Q60" s="247"/>
      <c r="R60" s="247"/>
      <c r="S60" s="248"/>
    </row>
    <row r="61" spans="1:19" ht="15" x14ac:dyDescent="0.2">
      <c r="A61" s="94"/>
      <c r="B61" s="94"/>
      <c r="C61" s="94"/>
      <c r="D61" s="94"/>
      <c r="E61" s="94"/>
      <c r="F61" s="94"/>
      <c r="G61" s="94"/>
      <c r="H61" s="94"/>
      <c r="I61" s="94"/>
      <c r="J61" s="94"/>
      <c r="K61" s="94"/>
      <c r="L61" s="94"/>
      <c r="M61" s="94"/>
      <c r="N61" s="246"/>
      <c r="O61" s="247"/>
      <c r="P61" s="247"/>
      <c r="Q61" s="247"/>
      <c r="R61" s="247"/>
      <c r="S61" s="248"/>
    </row>
    <row r="62" spans="1:19" ht="15" x14ac:dyDescent="0.2">
      <c r="A62" s="90"/>
      <c r="B62" s="91"/>
      <c r="C62" s="88"/>
      <c r="D62" s="91"/>
      <c r="E62" s="88"/>
      <c r="F62" s="91"/>
      <c r="G62" s="88"/>
      <c r="H62" s="91"/>
      <c r="I62" s="88"/>
      <c r="J62" s="91"/>
      <c r="K62" s="88"/>
      <c r="L62" s="92"/>
      <c r="M62" s="88"/>
      <c r="N62" s="246"/>
      <c r="O62" s="247"/>
      <c r="P62" s="247"/>
      <c r="Q62" s="247"/>
      <c r="R62" s="247"/>
      <c r="S62" s="248"/>
    </row>
    <row r="63" spans="1:19" ht="15" x14ac:dyDescent="0.2">
      <c r="A63" s="93"/>
      <c r="B63" s="94"/>
      <c r="C63" s="94"/>
      <c r="D63" s="94"/>
      <c r="E63" s="94"/>
      <c r="F63" s="94"/>
      <c r="G63" s="94"/>
      <c r="H63" s="94"/>
      <c r="I63" s="94"/>
      <c r="J63" s="94"/>
      <c r="K63" s="94"/>
      <c r="L63" s="94"/>
      <c r="M63" s="94"/>
      <c r="N63" s="246"/>
      <c r="O63" s="247"/>
      <c r="P63" s="247"/>
      <c r="Q63" s="247"/>
      <c r="R63" s="247"/>
      <c r="S63" s="248"/>
    </row>
    <row r="64" spans="1:19" ht="15" x14ac:dyDescent="0.2">
      <c r="A64" s="93"/>
      <c r="B64" s="94"/>
      <c r="C64" s="94"/>
      <c r="D64" s="94"/>
      <c r="E64" s="94"/>
      <c r="F64" s="94"/>
      <c r="G64" s="94"/>
      <c r="H64" s="94"/>
      <c r="I64" s="94"/>
      <c r="J64" s="94"/>
      <c r="K64" s="94"/>
      <c r="L64" s="94"/>
      <c r="M64" s="94"/>
      <c r="N64" s="246"/>
      <c r="O64" s="247"/>
      <c r="P64" s="247"/>
      <c r="Q64" s="247"/>
      <c r="R64" s="247"/>
      <c r="S64" s="248"/>
    </row>
    <row r="65" spans="1:19" ht="15" x14ac:dyDescent="0.2">
      <c r="A65" s="93"/>
      <c r="B65" s="94"/>
      <c r="C65" s="94"/>
      <c r="D65" s="94"/>
      <c r="E65" s="94"/>
      <c r="F65" s="94"/>
      <c r="G65" s="94"/>
      <c r="H65" s="94"/>
      <c r="I65" s="94"/>
      <c r="J65" s="94"/>
      <c r="K65" s="94"/>
      <c r="L65" s="94"/>
      <c r="M65" s="94"/>
      <c r="N65" s="249"/>
      <c r="O65" s="250"/>
      <c r="P65" s="250"/>
      <c r="Q65" s="250"/>
      <c r="R65" s="250"/>
      <c r="S65" s="251"/>
    </row>
    <row r="66" spans="1:19" ht="15" x14ac:dyDescent="0.2">
      <c r="A66" s="93"/>
      <c r="B66" s="94"/>
      <c r="C66" s="94"/>
      <c r="D66" s="94"/>
      <c r="E66" s="94"/>
      <c r="F66" s="94"/>
      <c r="G66" s="94"/>
      <c r="H66" s="94"/>
      <c r="I66" s="94"/>
      <c r="J66" s="94"/>
      <c r="K66" s="94"/>
      <c r="L66" s="94"/>
      <c r="M66" s="94"/>
    </row>
    <row r="67" spans="1:19" ht="15" x14ac:dyDescent="0.2">
      <c r="A67" s="93"/>
      <c r="B67" s="94"/>
      <c r="C67" s="94"/>
      <c r="D67" s="94"/>
      <c r="E67" s="94"/>
      <c r="F67" s="94"/>
      <c r="G67" s="94"/>
      <c r="H67" s="94"/>
      <c r="I67" s="94"/>
      <c r="J67" s="94"/>
      <c r="K67" s="94"/>
      <c r="L67" s="94"/>
      <c r="M67" s="94"/>
    </row>
    <row r="68" spans="1:19" ht="15" x14ac:dyDescent="0.2">
      <c r="A68" s="93"/>
      <c r="B68" s="94"/>
      <c r="C68" s="94"/>
      <c r="D68" s="94"/>
      <c r="E68" s="94"/>
      <c r="F68" s="94"/>
      <c r="G68" s="94"/>
      <c r="H68" s="94"/>
      <c r="I68" s="94"/>
      <c r="J68" s="94"/>
      <c r="K68" s="94"/>
      <c r="L68" s="94"/>
      <c r="M68" s="94"/>
    </row>
    <row r="69" spans="1:19" ht="15" x14ac:dyDescent="0.2">
      <c r="A69" s="93"/>
      <c r="B69" s="94"/>
      <c r="C69" s="94"/>
      <c r="D69" s="94"/>
      <c r="E69" s="94"/>
      <c r="F69" s="94"/>
      <c r="G69" s="94"/>
      <c r="H69" s="94"/>
      <c r="I69" s="94"/>
      <c r="J69" s="94"/>
      <c r="K69" s="94"/>
      <c r="L69" s="94"/>
      <c r="M69" s="94"/>
    </row>
    <row r="70" spans="1:19" ht="15" x14ac:dyDescent="0.2">
      <c r="A70" s="93"/>
      <c r="B70" s="94"/>
      <c r="C70" s="94"/>
      <c r="D70" s="94"/>
      <c r="E70" s="94"/>
      <c r="F70" s="94"/>
      <c r="G70" s="94"/>
      <c r="H70" s="94"/>
      <c r="I70" s="94"/>
      <c r="J70" s="94"/>
      <c r="K70" s="94"/>
      <c r="L70" s="94"/>
      <c r="M70" s="94"/>
    </row>
    <row r="71" spans="1:19" ht="15" x14ac:dyDescent="0.2">
      <c r="A71" s="93"/>
      <c r="B71" s="94"/>
      <c r="C71" s="94"/>
      <c r="D71" s="94"/>
      <c r="E71" s="94"/>
      <c r="F71" s="94"/>
      <c r="G71" s="94"/>
      <c r="H71" s="94"/>
      <c r="I71" s="94"/>
      <c r="J71" s="94"/>
      <c r="K71" s="94"/>
      <c r="L71" s="94"/>
      <c r="M71" s="94"/>
    </row>
    <row r="72" spans="1:19" ht="15" x14ac:dyDescent="0.2">
      <c r="A72" s="93"/>
      <c r="B72" s="94"/>
      <c r="C72" s="94"/>
      <c r="D72" s="94"/>
      <c r="E72" s="94"/>
      <c r="F72" s="94"/>
      <c r="G72" s="94"/>
      <c r="H72" s="94"/>
      <c r="I72" s="94"/>
      <c r="J72" s="94"/>
      <c r="K72" s="94"/>
      <c r="L72" s="94"/>
      <c r="M72" s="94"/>
    </row>
    <row r="73" spans="1:19" ht="15" x14ac:dyDescent="0.2">
      <c r="A73" s="93"/>
      <c r="B73" s="94"/>
      <c r="C73" s="94"/>
      <c r="D73" s="94"/>
      <c r="E73" s="94"/>
      <c r="F73" s="94"/>
      <c r="G73" s="94"/>
      <c r="H73" s="94"/>
      <c r="I73" s="94"/>
      <c r="J73" s="94"/>
      <c r="K73" s="94"/>
      <c r="L73" s="94"/>
      <c r="M73" s="94"/>
    </row>
    <row r="74" spans="1:19" ht="15" x14ac:dyDescent="0.2">
      <c r="A74" s="93"/>
      <c r="B74" s="94"/>
      <c r="C74" s="94"/>
      <c r="D74" s="94"/>
      <c r="E74" s="94"/>
      <c r="F74" s="94"/>
      <c r="G74" s="94"/>
      <c r="H74" s="94"/>
      <c r="I74" s="94"/>
      <c r="J74" s="94"/>
      <c r="K74" s="94"/>
      <c r="L74" s="94"/>
      <c r="M74" s="94"/>
    </row>
    <row r="75" spans="1:19" ht="15" x14ac:dyDescent="0.2">
      <c r="A75" s="93"/>
      <c r="B75" s="94"/>
      <c r="C75" s="94"/>
      <c r="D75" s="94"/>
      <c r="E75" s="94"/>
      <c r="F75" s="94"/>
      <c r="G75" s="94"/>
      <c r="H75" s="94"/>
      <c r="I75" s="94"/>
      <c r="J75" s="94"/>
      <c r="K75" s="94"/>
      <c r="L75" s="94"/>
      <c r="M75" s="94"/>
    </row>
    <row r="76" spans="1:19" ht="15" x14ac:dyDescent="0.2">
      <c r="A76" s="93"/>
      <c r="B76" s="94"/>
      <c r="C76" s="94"/>
      <c r="D76" s="94"/>
      <c r="E76" s="94"/>
      <c r="F76" s="94"/>
      <c r="G76" s="94"/>
      <c r="H76" s="94"/>
      <c r="I76" s="94"/>
      <c r="J76" s="94"/>
      <c r="K76" s="94"/>
      <c r="L76" s="94"/>
      <c r="M76" s="94"/>
    </row>
    <row r="77" spans="1:19" ht="15" x14ac:dyDescent="0.2">
      <c r="A77" s="93"/>
      <c r="B77" s="94"/>
      <c r="C77" s="94"/>
      <c r="D77" s="94"/>
      <c r="E77" s="94"/>
      <c r="F77" s="94"/>
      <c r="G77" s="94"/>
      <c r="H77" s="94"/>
      <c r="I77" s="94"/>
      <c r="J77" s="94"/>
      <c r="K77" s="94"/>
      <c r="L77" s="94"/>
      <c r="M77" s="94"/>
    </row>
    <row r="78" spans="1:19" ht="15" x14ac:dyDescent="0.2">
      <c r="A78" s="93"/>
      <c r="B78" s="94"/>
      <c r="C78" s="94"/>
      <c r="D78" s="94"/>
      <c r="E78" s="94"/>
      <c r="F78" s="94"/>
      <c r="G78" s="94"/>
      <c r="H78" s="94"/>
      <c r="I78" s="94"/>
      <c r="J78" s="94"/>
      <c r="K78" s="94"/>
      <c r="L78" s="94"/>
      <c r="M78" s="94"/>
    </row>
    <row r="79" spans="1:19" ht="15" x14ac:dyDescent="0.2">
      <c r="A79" s="93"/>
      <c r="B79" s="94"/>
      <c r="C79" s="94"/>
      <c r="D79" s="94"/>
      <c r="E79" s="94"/>
      <c r="F79" s="94"/>
      <c r="G79" s="94"/>
      <c r="H79" s="94"/>
      <c r="I79" s="94"/>
      <c r="J79" s="94"/>
      <c r="K79" s="94"/>
      <c r="L79" s="94"/>
      <c r="M79" s="94"/>
    </row>
    <row r="80" spans="1:19" ht="15" x14ac:dyDescent="0.2">
      <c r="A80" s="93"/>
      <c r="B80" s="94"/>
      <c r="C80" s="94"/>
      <c r="D80" s="94"/>
      <c r="E80" s="94"/>
      <c r="F80" s="94"/>
      <c r="G80" s="94"/>
      <c r="H80" s="94"/>
      <c r="I80" s="94"/>
      <c r="J80" s="94"/>
      <c r="K80" s="94"/>
      <c r="L80" s="94"/>
      <c r="M80" s="94"/>
    </row>
    <row r="81" spans="1:13" ht="15" x14ac:dyDescent="0.2">
      <c r="A81" s="93"/>
      <c r="B81" s="94"/>
      <c r="C81" s="94"/>
      <c r="D81" s="94"/>
      <c r="E81" s="94"/>
      <c r="F81" s="94"/>
      <c r="G81" s="94"/>
      <c r="H81" s="94"/>
      <c r="I81" s="94"/>
      <c r="J81" s="94"/>
      <c r="K81" s="94"/>
      <c r="L81" s="94"/>
      <c r="M81" s="94"/>
    </row>
    <row r="82" spans="1:13" ht="15" x14ac:dyDescent="0.2">
      <c r="A82" s="93"/>
      <c r="B82" s="94"/>
      <c r="C82" s="94"/>
      <c r="D82" s="94"/>
      <c r="E82" s="94"/>
      <c r="F82" s="94"/>
      <c r="G82" s="94"/>
      <c r="H82" s="94"/>
      <c r="I82" s="94"/>
      <c r="J82" s="94"/>
      <c r="K82" s="94"/>
      <c r="L82" s="94"/>
      <c r="M82" s="94"/>
    </row>
    <row r="83" spans="1:13" ht="15" x14ac:dyDescent="0.2">
      <c r="A83" s="93"/>
      <c r="B83" s="94"/>
      <c r="C83" s="94"/>
      <c r="D83" s="94"/>
      <c r="E83" s="94"/>
      <c r="F83" s="94"/>
      <c r="G83" s="94"/>
      <c r="H83" s="94"/>
      <c r="I83" s="94"/>
      <c r="J83" s="94"/>
      <c r="K83" s="94"/>
      <c r="L83" s="94"/>
      <c r="M83" s="94"/>
    </row>
    <row r="84" spans="1:13" ht="15" x14ac:dyDescent="0.2">
      <c r="A84" s="93"/>
      <c r="B84" s="94"/>
      <c r="C84" s="94"/>
      <c r="D84" s="94"/>
      <c r="E84" s="94"/>
      <c r="F84" s="94"/>
      <c r="G84" s="94"/>
      <c r="H84" s="94"/>
      <c r="I84" s="94"/>
      <c r="J84" s="94"/>
      <c r="K84" s="94"/>
      <c r="L84" s="94"/>
      <c r="M84" s="94"/>
    </row>
    <row r="85" spans="1:13" ht="15" x14ac:dyDescent="0.2">
      <c r="A85" s="93"/>
      <c r="B85" s="94"/>
      <c r="C85" s="94"/>
      <c r="D85" s="94"/>
      <c r="E85" s="94"/>
      <c r="F85" s="94"/>
      <c r="G85" s="94"/>
      <c r="H85" s="94"/>
      <c r="I85" s="94"/>
      <c r="J85" s="94"/>
      <c r="K85" s="94"/>
      <c r="L85" s="94"/>
      <c r="M85" s="94"/>
    </row>
    <row r="86" spans="1:13" ht="15" x14ac:dyDescent="0.2">
      <c r="A86" s="93"/>
      <c r="B86" s="94"/>
      <c r="C86" s="94"/>
      <c r="D86" s="94"/>
      <c r="E86" s="94"/>
      <c r="F86" s="94"/>
      <c r="G86" s="94"/>
      <c r="H86" s="94"/>
      <c r="I86" s="94"/>
      <c r="J86" s="94"/>
      <c r="K86" s="94"/>
      <c r="L86" s="94"/>
      <c r="M86" s="94"/>
    </row>
    <row r="87" spans="1:13" ht="15" x14ac:dyDescent="0.2">
      <c r="A87" s="93"/>
      <c r="B87" s="94"/>
      <c r="C87" s="94"/>
      <c r="D87" s="94"/>
      <c r="E87" s="94"/>
      <c r="F87" s="94"/>
      <c r="G87" s="94"/>
      <c r="H87" s="94"/>
      <c r="I87" s="94"/>
      <c r="J87" s="94"/>
      <c r="K87" s="94"/>
      <c r="L87" s="94"/>
      <c r="M87" s="94"/>
    </row>
    <row r="88" spans="1:13" ht="15" x14ac:dyDescent="0.2">
      <c r="A88" s="93"/>
      <c r="B88" s="94"/>
      <c r="C88" s="94"/>
      <c r="D88" s="94"/>
      <c r="E88" s="94"/>
      <c r="F88" s="94"/>
      <c r="G88" s="94"/>
      <c r="H88" s="94"/>
      <c r="I88" s="94"/>
      <c r="J88" s="94"/>
      <c r="K88" s="94"/>
      <c r="L88" s="94"/>
      <c r="M88" s="94"/>
    </row>
    <row r="89" spans="1:13" ht="15" x14ac:dyDescent="0.2">
      <c r="A89" s="93"/>
      <c r="B89" s="94"/>
      <c r="C89" s="94"/>
      <c r="D89" s="94"/>
      <c r="E89" s="94"/>
      <c r="F89" s="94"/>
      <c r="G89" s="94"/>
      <c r="H89" s="94"/>
      <c r="I89" s="94"/>
      <c r="J89" s="94"/>
      <c r="K89" s="94"/>
      <c r="L89" s="94"/>
      <c r="M89" s="94"/>
    </row>
    <row r="90" spans="1:13" ht="15" x14ac:dyDescent="0.2">
      <c r="A90" s="93"/>
      <c r="B90" s="94"/>
      <c r="C90" s="94"/>
      <c r="D90" s="94"/>
      <c r="E90" s="94"/>
      <c r="F90" s="94"/>
      <c r="G90" s="94"/>
      <c r="H90" s="94"/>
      <c r="I90" s="94"/>
      <c r="J90" s="94"/>
      <c r="K90" s="94"/>
      <c r="L90" s="94"/>
      <c r="M90" s="94"/>
    </row>
    <row r="91" spans="1:13" ht="15" x14ac:dyDescent="0.2">
      <c r="A91" s="93"/>
      <c r="B91" s="94"/>
      <c r="C91" s="94"/>
      <c r="D91" s="94"/>
      <c r="E91" s="94"/>
      <c r="F91" s="94"/>
      <c r="G91" s="94"/>
      <c r="H91" s="94"/>
      <c r="I91" s="94"/>
      <c r="J91" s="94"/>
      <c r="K91" s="94"/>
      <c r="L91" s="94"/>
      <c r="M91" s="94"/>
    </row>
    <row r="92" spans="1:13" ht="15" x14ac:dyDescent="0.2">
      <c r="A92" s="93"/>
      <c r="B92" s="94"/>
      <c r="C92" s="94"/>
      <c r="D92" s="94"/>
      <c r="E92" s="94"/>
      <c r="F92" s="94"/>
      <c r="G92" s="94"/>
      <c r="H92" s="94"/>
      <c r="I92" s="94"/>
      <c r="J92" s="94"/>
      <c r="K92" s="94"/>
      <c r="L92" s="94"/>
      <c r="M92" s="94"/>
    </row>
    <row r="93" spans="1:13" ht="15" x14ac:dyDescent="0.2">
      <c r="A93" s="93"/>
      <c r="B93" s="94"/>
      <c r="C93" s="94"/>
      <c r="D93" s="94"/>
      <c r="E93" s="94"/>
      <c r="F93" s="94"/>
      <c r="G93" s="94"/>
      <c r="H93" s="94"/>
      <c r="I93" s="94"/>
      <c r="J93" s="94"/>
      <c r="K93" s="94"/>
      <c r="L93" s="94"/>
      <c r="M93" s="94"/>
    </row>
    <row r="94" spans="1:13" ht="15" x14ac:dyDescent="0.2">
      <c r="A94" s="93"/>
      <c r="B94" s="94"/>
      <c r="C94" s="94"/>
      <c r="D94" s="94"/>
      <c r="E94" s="94"/>
      <c r="F94" s="94"/>
      <c r="G94" s="94"/>
      <c r="H94" s="94"/>
      <c r="I94" s="94"/>
      <c r="J94" s="94"/>
      <c r="K94" s="94"/>
      <c r="L94" s="94"/>
      <c r="M94" s="94"/>
    </row>
    <row r="95" spans="1:13" ht="15" x14ac:dyDescent="0.2">
      <c r="A95" s="93"/>
      <c r="B95" s="94"/>
      <c r="C95" s="94"/>
      <c r="D95" s="94"/>
      <c r="E95" s="94"/>
      <c r="F95" s="94"/>
      <c r="G95" s="94"/>
      <c r="H95" s="94"/>
      <c r="I95" s="94"/>
      <c r="J95" s="94"/>
      <c r="K95" s="94"/>
      <c r="L95" s="94"/>
      <c r="M95" s="94"/>
    </row>
    <row r="96" spans="1:13" ht="15" x14ac:dyDescent="0.2">
      <c r="A96" s="93"/>
      <c r="B96" s="94"/>
      <c r="C96" s="94"/>
      <c r="D96" s="94"/>
      <c r="E96" s="94"/>
      <c r="F96" s="94"/>
      <c r="G96" s="94"/>
      <c r="H96" s="94"/>
      <c r="I96" s="94"/>
      <c r="J96" s="94"/>
      <c r="K96" s="94"/>
      <c r="L96" s="94"/>
      <c r="M96" s="94"/>
    </row>
    <row r="97" spans="1:13" ht="15" x14ac:dyDescent="0.2">
      <c r="A97" s="93"/>
      <c r="B97" s="94"/>
      <c r="C97" s="94"/>
      <c r="D97" s="94"/>
      <c r="E97" s="94"/>
      <c r="F97" s="94"/>
      <c r="G97" s="94"/>
      <c r="H97" s="94"/>
      <c r="I97" s="94"/>
      <c r="J97" s="94"/>
      <c r="K97" s="94"/>
      <c r="L97" s="94"/>
      <c r="M97" s="94"/>
    </row>
    <row r="98" spans="1:13" ht="15" x14ac:dyDescent="0.2">
      <c r="A98" s="93"/>
      <c r="B98" s="94"/>
      <c r="C98" s="94"/>
      <c r="D98" s="94"/>
      <c r="E98" s="94"/>
      <c r="F98" s="94"/>
      <c r="G98" s="94"/>
      <c r="H98" s="94"/>
      <c r="I98" s="94"/>
      <c r="J98" s="94"/>
      <c r="K98" s="94"/>
      <c r="L98" s="94"/>
      <c r="M98" s="94"/>
    </row>
    <row r="99" spans="1:13" ht="15" x14ac:dyDescent="0.2">
      <c r="A99" s="93"/>
      <c r="B99" s="94"/>
      <c r="C99" s="94"/>
      <c r="D99" s="94"/>
      <c r="E99" s="94"/>
      <c r="F99" s="94"/>
      <c r="G99" s="94"/>
      <c r="H99" s="94"/>
      <c r="I99" s="94"/>
      <c r="J99" s="94"/>
      <c r="K99" s="94"/>
      <c r="L99" s="94"/>
      <c r="M99" s="94"/>
    </row>
    <row r="100" spans="1:13" ht="15" x14ac:dyDescent="0.2">
      <c r="A100" s="93"/>
      <c r="B100" s="94"/>
      <c r="C100" s="94"/>
      <c r="D100" s="94"/>
      <c r="E100" s="94"/>
      <c r="F100" s="94"/>
      <c r="G100" s="94"/>
      <c r="H100" s="94"/>
      <c r="I100" s="94"/>
      <c r="J100" s="94"/>
      <c r="K100" s="94"/>
      <c r="L100" s="94"/>
      <c r="M100" s="94"/>
    </row>
    <row r="101" spans="1:13" ht="15" x14ac:dyDescent="0.2">
      <c r="A101" s="93"/>
      <c r="B101" s="94"/>
      <c r="C101" s="94"/>
      <c r="D101" s="94"/>
      <c r="E101" s="94"/>
      <c r="F101" s="94"/>
      <c r="G101" s="94"/>
      <c r="H101" s="94"/>
      <c r="I101" s="94"/>
      <c r="J101" s="94"/>
      <c r="K101" s="94"/>
      <c r="L101" s="94"/>
      <c r="M101" s="94"/>
    </row>
    <row r="102" spans="1:13" ht="15" x14ac:dyDescent="0.2">
      <c r="A102" s="93"/>
      <c r="B102" s="94"/>
      <c r="C102" s="94"/>
      <c r="D102" s="94"/>
      <c r="E102" s="94"/>
      <c r="F102" s="94"/>
      <c r="G102" s="94"/>
      <c r="H102" s="94"/>
      <c r="I102" s="94"/>
      <c r="J102" s="94"/>
      <c r="K102" s="94"/>
      <c r="L102" s="94"/>
      <c r="M102" s="94"/>
    </row>
    <row r="103" spans="1:13" ht="15" x14ac:dyDescent="0.2">
      <c r="A103" s="93"/>
      <c r="B103" s="94"/>
      <c r="C103" s="94"/>
      <c r="D103" s="94"/>
      <c r="E103" s="94"/>
      <c r="F103" s="94"/>
      <c r="G103" s="94"/>
      <c r="H103" s="94"/>
      <c r="I103" s="94"/>
      <c r="J103" s="94"/>
      <c r="K103" s="94"/>
      <c r="L103" s="94"/>
      <c r="M103" s="94"/>
    </row>
    <row r="104" spans="1:13" ht="15" x14ac:dyDescent="0.2">
      <c r="A104" s="93"/>
      <c r="B104" s="94"/>
      <c r="C104" s="94"/>
      <c r="D104" s="94"/>
      <c r="E104" s="94"/>
      <c r="F104" s="94"/>
      <c r="G104" s="94"/>
      <c r="H104" s="94"/>
      <c r="I104" s="94"/>
      <c r="J104" s="94"/>
      <c r="K104" s="94"/>
      <c r="L104" s="94"/>
      <c r="M104" s="94"/>
    </row>
    <row r="105" spans="1:13" ht="15" x14ac:dyDescent="0.2">
      <c r="A105" s="93"/>
      <c r="B105" s="94"/>
      <c r="C105" s="94"/>
      <c r="D105" s="94"/>
      <c r="E105" s="94"/>
      <c r="F105" s="94"/>
      <c r="G105" s="94"/>
      <c r="H105" s="94"/>
      <c r="I105" s="94"/>
      <c r="J105" s="94"/>
      <c r="K105" s="94"/>
      <c r="L105" s="94"/>
      <c r="M105" s="94"/>
    </row>
    <row r="106" spans="1:13" ht="15" x14ac:dyDescent="0.2">
      <c r="A106" s="93"/>
      <c r="B106" s="94"/>
      <c r="C106" s="94"/>
      <c r="D106" s="94"/>
      <c r="E106" s="94"/>
      <c r="F106" s="94"/>
      <c r="G106" s="94"/>
      <c r="H106" s="94"/>
      <c r="I106" s="94"/>
      <c r="J106" s="94"/>
      <c r="K106" s="94"/>
      <c r="L106" s="94"/>
      <c r="M106" s="94"/>
    </row>
    <row r="107" spans="1:13" ht="15" x14ac:dyDescent="0.2">
      <c r="A107" s="93"/>
      <c r="B107" s="94"/>
      <c r="C107" s="94"/>
      <c r="D107" s="94"/>
      <c r="E107" s="94"/>
      <c r="F107" s="94"/>
      <c r="G107" s="94"/>
      <c r="H107" s="94"/>
      <c r="I107" s="94"/>
      <c r="J107" s="94"/>
      <c r="K107" s="94"/>
      <c r="L107" s="94"/>
      <c r="M107" s="94"/>
    </row>
    <row r="108" spans="1:13" ht="15" x14ac:dyDescent="0.2">
      <c r="A108" s="93"/>
      <c r="B108" s="94"/>
      <c r="C108" s="94"/>
      <c r="D108" s="94"/>
      <c r="E108" s="94"/>
      <c r="F108" s="94"/>
      <c r="G108" s="94"/>
      <c r="H108" s="94"/>
      <c r="I108" s="94"/>
      <c r="J108" s="94"/>
      <c r="K108" s="94"/>
      <c r="L108" s="94"/>
      <c r="M108" s="94"/>
    </row>
    <row r="109" spans="1:13" ht="15" x14ac:dyDescent="0.2">
      <c r="A109" s="93"/>
      <c r="B109" s="94"/>
      <c r="C109" s="94"/>
      <c r="D109" s="94"/>
      <c r="E109" s="94"/>
      <c r="F109" s="94"/>
      <c r="G109" s="94"/>
      <c r="H109" s="94"/>
      <c r="I109" s="94"/>
      <c r="J109" s="94"/>
      <c r="K109" s="94"/>
      <c r="L109" s="94"/>
      <c r="M109" s="94"/>
    </row>
    <row r="110" spans="1:13" ht="15" x14ac:dyDescent="0.2">
      <c r="A110" s="93"/>
      <c r="B110" s="94"/>
      <c r="C110" s="94"/>
      <c r="D110" s="94"/>
      <c r="E110" s="94"/>
      <c r="F110" s="94"/>
      <c r="G110" s="94"/>
      <c r="H110" s="94"/>
      <c r="I110" s="94"/>
      <c r="J110" s="94"/>
      <c r="K110" s="94"/>
      <c r="L110" s="94"/>
      <c r="M110" s="94"/>
    </row>
    <row r="111" spans="1:13" ht="15" x14ac:dyDescent="0.2">
      <c r="A111" s="93"/>
      <c r="B111" s="94"/>
      <c r="C111" s="94"/>
      <c r="D111" s="94"/>
      <c r="E111" s="94"/>
      <c r="F111" s="94"/>
      <c r="G111" s="94"/>
      <c r="H111" s="94"/>
      <c r="I111" s="94"/>
      <c r="J111" s="94"/>
      <c r="K111" s="94"/>
      <c r="L111" s="94"/>
      <c r="M111" s="94"/>
    </row>
    <row r="112" spans="1:13" ht="15" x14ac:dyDescent="0.2">
      <c r="A112" s="93"/>
      <c r="B112" s="94"/>
      <c r="C112" s="94"/>
      <c r="D112" s="94"/>
      <c r="E112" s="94"/>
      <c r="F112" s="94"/>
      <c r="G112" s="94"/>
      <c r="H112" s="94"/>
      <c r="I112" s="94"/>
      <c r="J112" s="94"/>
      <c r="K112" s="94"/>
      <c r="L112" s="94"/>
      <c r="M112" s="94"/>
    </row>
  </sheetData>
  <mergeCells count="1">
    <mergeCell ref="N56:S65"/>
  </mergeCells>
  <phoneticPr fontId="7"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
  <sheetViews>
    <sheetView topLeftCell="A10" zoomScale="70" zoomScaleNormal="70" zoomScalePageLayoutView="70" workbookViewId="0">
      <selection activeCell="A53" sqref="A53"/>
    </sheetView>
  </sheetViews>
  <sheetFormatPr baseColWidth="10" defaultColWidth="9.1640625" defaultRowHeight="15" x14ac:dyDescent="0.2"/>
  <cols>
    <col min="2" max="2" width="11.5" bestFit="1" customWidth="1"/>
    <col min="3" max="3" width="14.83203125" bestFit="1" customWidth="1"/>
  </cols>
  <sheetData>
    <row r="1" spans="1:3" x14ac:dyDescent="0.2">
      <c r="A1" s="3" t="s">
        <v>597</v>
      </c>
    </row>
    <row r="2" spans="1:3" s="51" customFormat="1" ht="24" x14ac:dyDescent="0.3">
      <c r="A2" s="50" t="s">
        <v>214</v>
      </c>
    </row>
    <row r="4" spans="1:3" ht="120" x14ac:dyDescent="0.2">
      <c r="A4" s="3" t="s">
        <v>88</v>
      </c>
      <c r="B4" s="49" t="s">
        <v>598</v>
      </c>
      <c r="C4" s="49" t="s">
        <v>599</v>
      </c>
    </row>
    <row r="5" spans="1:3" x14ac:dyDescent="0.2">
      <c r="A5" t="s">
        <v>99</v>
      </c>
      <c r="B5">
        <v>4</v>
      </c>
      <c r="C5">
        <v>100</v>
      </c>
    </row>
    <row r="6" spans="1:3" x14ac:dyDescent="0.2">
      <c r="A6" t="s">
        <v>109</v>
      </c>
      <c r="B6">
        <v>2</v>
      </c>
      <c r="C6">
        <v>100</v>
      </c>
    </row>
    <row r="7" spans="1:3" x14ac:dyDescent="0.2">
      <c r="A7" t="s">
        <v>110</v>
      </c>
      <c r="B7">
        <v>5</v>
      </c>
      <c r="C7">
        <v>100</v>
      </c>
    </row>
    <row r="8" spans="1:3" x14ac:dyDescent="0.2">
      <c r="A8" t="s">
        <v>121</v>
      </c>
      <c r="B8">
        <v>20</v>
      </c>
      <c r="C8">
        <v>100</v>
      </c>
    </row>
    <row r="9" spans="1:3" x14ac:dyDescent="0.2">
      <c r="A9" t="s">
        <v>107</v>
      </c>
      <c r="B9">
        <v>5</v>
      </c>
      <c r="C9">
        <v>99.865759999999995</v>
      </c>
    </row>
    <row r="10" spans="1:3" x14ac:dyDescent="0.2">
      <c r="A10" t="s">
        <v>95</v>
      </c>
      <c r="B10">
        <v>12</v>
      </c>
      <c r="C10">
        <v>99.817869999999999</v>
      </c>
    </row>
    <row r="11" spans="1:3" x14ac:dyDescent="0.2">
      <c r="A11" t="s">
        <v>118</v>
      </c>
      <c r="B11">
        <v>51</v>
      </c>
      <c r="C11">
        <v>99.250039999999998</v>
      </c>
    </row>
    <row r="12" spans="1:3" x14ac:dyDescent="0.2">
      <c r="A12" t="s">
        <v>35</v>
      </c>
      <c r="B12">
        <v>6</v>
      </c>
      <c r="C12">
        <v>99.094930000000005</v>
      </c>
    </row>
    <row r="13" spans="1:3" x14ac:dyDescent="0.2">
      <c r="A13" t="s">
        <v>119</v>
      </c>
      <c r="B13">
        <v>34</v>
      </c>
      <c r="C13">
        <v>98.912289999999999</v>
      </c>
    </row>
    <row r="14" spans="1:3" x14ac:dyDescent="0.2">
      <c r="A14" t="s">
        <v>113</v>
      </c>
      <c r="B14">
        <v>21</v>
      </c>
      <c r="C14">
        <v>97.9</v>
      </c>
    </row>
    <row r="15" spans="1:3" x14ac:dyDescent="0.2">
      <c r="A15" t="s">
        <v>125</v>
      </c>
      <c r="B15">
        <v>7</v>
      </c>
      <c r="C15">
        <v>97.362729999999999</v>
      </c>
    </row>
    <row r="16" spans="1:3" x14ac:dyDescent="0.2">
      <c r="A16" t="s">
        <v>82</v>
      </c>
      <c r="B16">
        <v>7</v>
      </c>
      <c r="C16">
        <v>96.285179999999997</v>
      </c>
    </row>
    <row r="17" spans="1:3" x14ac:dyDescent="0.2">
      <c r="A17" t="s">
        <v>36</v>
      </c>
      <c r="B17">
        <v>12</v>
      </c>
      <c r="C17">
        <v>95.777330000000006</v>
      </c>
    </row>
    <row r="18" spans="1:3" x14ac:dyDescent="0.2">
      <c r="A18" t="s">
        <v>108</v>
      </c>
      <c r="B18">
        <v>12</v>
      </c>
      <c r="C18">
        <v>95.542860000000005</v>
      </c>
    </row>
    <row r="19" spans="1:3" x14ac:dyDescent="0.2">
      <c r="A19" t="s">
        <v>39</v>
      </c>
      <c r="B19">
        <v>8</v>
      </c>
      <c r="C19">
        <v>94.992019999999997</v>
      </c>
    </row>
    <row r="20" spans="1:3" x14ac:dyDescent="0.2">
      <c r="A20" t="s">
        <v>22</v>
      </c>
      <c r="B20">
        <v>71</v>
      </c>
      <c r="C20">
        <v>94.518860000000004</v>
      </c>
    </row>
    <row r="21" spans="1:3" x14ac:dyDescent="0.2">
      <c r="A21" t="s">
        <v>98</v>
      </c>
      <c r="B21">
        <v>30</v>
      </c>
      <c r="C21">
        <v>94.1</v>
      </c>
    </row>
    <row r="22" spans="1:3" x14ac:dyDescent="0.2">
      <c r="A22" t="s">
        <v>100</v>
      </c>
      <c r="B22">
        <v>43</v>
      </c>
      <c r="C22">
        <v>93.711070000000007</v>
      </c>
    </row>
    <row r="23" spans="1:3" x14ac:dyDescent="0.2">
      <c r="A23" t="s">
        <v>128</v>
      </c>
      <c r="B23">
        <v>41</v>
      </c>
      <c r="C23">
        <v>93.648799999999994</v>
      </c>
    </row>
    <row r="24" spans="1:3" x14ac:dyDescent="0.2">
      <c r="A24" t="s">
        <v>104</v>
      </c>
      <c r="B24">
        <v>11</v>
      </c>
      <c r="C24">
        <v>93.010040000000004</v>
      </c>
    </row>
    <row r="25" spans="1:3" x14ac:dyDescent="0.2">
      <c r="A25" t="s">
        <v>42</v>
      </c>
      <c r="B25">
        <v>32</v>
      </c>
      <c r="C25">
        <v>91.5</v>
      </c>
    </row>
    <row r="26" spans="1:3" x14ac:dyDescent="0.2">
      <c r="A26" t="s">
        <v>114</v>
      </c>
      <c r="B26">
        <v>5</v>
      </c>
      <c r="C26">
        <v>91.004628690000004</v>
      </c>
    </row>
    <row r="27" spans="1:3" x14ac:dyDescent="0.2">
      <c r="A27" t="s">
        <v>40</v>
      </c>
      <c r="B27">
        <v>65</v>
      </c>
      <c r="C27">
        <v>89.937060000000002</v>
      </c>
    </row>
    <row r="28" spans="1:3" x14ac:dyDescent="0.2">
      <c r="A28" t="s">
        <v>130</v>
      </c>
      <c r="B28">
        <v>34</v>
      </c>
      <c r="C28">
        <v>89.597530000000006</v>
      </c>
    </row>
    <row r="29" spans="1:3" x14ac:dyDescent="0.2">
      <c r="A29" t="s">
        <v>120</v>
      </c>
      <c r="B29">
        <v>8</v>
      </c>
      <c r="C29">
        <v>89.117699999999999</v>
      </c>
    </row>
    <row r="30" spans="1:3" x14ac:dyDescent="0.2">
      <c r="A30" t="s">
        <v>124</v>
      </c>
      <c r="B30">
        <v>6</v>
      </c>
      <c r="C30">
        <v>87.681650000000005</v>
      </c>
    </row>
    <row r="31" spans="1:3" x14ac:dyDescent="0.2">
      <c r="A31" t="s">
        <v>92</v>
      </c>
      <c r="B31">
        <v>4</v>
      </c>
      <c r="C31">
        <v>87.00197</v>
      </c>
    </row>
    <row r="32" spans="1:3" x14ac:dyDescent="0.2">
      <c r="A32" t="s">
        <v>38</v>
      </c>
      <c r="B32">
        <v>4</v>
      </c>
      <c r="C32">
        <v>86.544110000000003</v>
      </c>
    </row>
    <row r="33" spans="1:3" x14ac:dyDescent="0.2">
      <c r="A33" t="s">
        <v>129</v>
      </c>
      <c r="B33">
        <v>27</v>
      </c>
      <c r="C33">
        <v>86.058819999999997</v>
      </c>
    </row>
    <row r="34" spans="1:3" x14ac:dyDescent="0.2">
      <c r="A34" t="s">
        <v>81</v>
      </c>
      <c r="B34">
        <v>17</v>
      </c>
      <c r="C34">
        <v>84.989320000000006</v>
      </c>
    </row>
    <row r="35" spans="1:3" x14ac:dyDescent="0.2">
      <c r="A35" t="s">
        <v>116</v>
      </c>
      <c r="B35">
        <v>7</v>
      </c>
      <c r="C35">
        <v>84.367369999999994</v>
      </c>
    </row>
    <row r="36" spans="1:3" x14ac:dyDescent="0.2">
      <c r="A36" t="s">
        <v>123</v>
      </c>
      <c r="B36">
        <v>8</v>
      </c>
      <c r="C36">
        <v>84.157210000000006</v>
      </c>
    </row>
    <row r="37" spans="1:3" x14ac:dyDescent="0.2">
      <c r="A37" t="s">
        <v>97</v>
      </c>
      <c r="B37">
        <v>27</v>
      </c>
      <c r="C37">
        <v>81.773169999999993</v>
      </c>
    </row>
    <row r="38" spans="1:3" x14ac:dyDescent="0.2">
      <c r="A38" t="s">
        <v>115</v>
      </c>
      <c r="B38">
        <v>6</v>
      </c>
      <c r="C38">
        <v>80.519639999999995</v>
      </c>
    </row>
    <row r="39" spans="1:3" x14ac:dyDescent="0.2">
      <c r="A39" t="s">
        <v>126</v>
      </c>
      <c r="B39">
        <v>5</v>
      </c>
      <c r="C39">
        <v>79.416430000000005</v>
      </c>
    </row>
    <row r="40" spans="1:3" x14ac:dyDescent="0.2">
      <c r="A40" t="s">
        <v>111</v>
      </c>
      <c r="B40">
        <v>8</v>
      </c>
      <c r="C40">
        <v>78.012259999999998</v>
      </c>
    </row>
    <row r="41" spans="1:3" x14ac:dyDescent="0.2">
      <c r="A41" t="s">
        <v>102</v>
      </c>
      <c r="B41">
        <v>8</v>
      </c>
      <c r="C41">
        <v>77.504840000000002</v>
      </c>
    </row>
    <row r="42" spans="1:3" x14ac:dyDescent="0.2">
      <c r="A42" t="s">
        <v>106</v>
      </c>
      <c r="B42">
        <v>10</v>
      </c>
      <c r="C42">
        <v>72.2</v>
      </c>
    </row>
    <row r="43" spans="1:3" x14ac:dyDescent="0.2">
      <c r="A43" t="s">
        <v>117</v>
      </c>
      <c r="B43">
        <v>4</v>
      </c>
      <c r="C43">
        <v>71.249020000000002</v>
      </c>
    </row>
    <row r="44" spans="1:3" x14ac:dyDescent="0.2">
      <c r="A44" t="s">
        <v>122</v>
      </c>
      <c r="B44">
        <v>8</v>
      </c>
      <c r="C44">
        <v>68.553539999999998</v>
      </c>
    </row>
    <row r="45" spans="1:3" x14ac:dyDescent="0.2">
      <c r="A45" t="s">
        <v>37</v>
      </c>
      <c r="B45">
        <v>6</v>
      </c>
      <c r="C45">
        <v>66.762129999999999</v>
      </c>
    </row>
    <row r="46" spans="1:3" x14ac:dyDescent="0.2">
      <c r="A46" t="s">
        <v>32</v>
      </c>
      <c r="B46">
        <v>3</v>
      </c>
      <c r="C46">
        <v>59.506990000000002</v>
      </c>
    </row>
    <row r="47" spans="1:3" x14ac:dyDescent="0.2">
      <c r="A47" t="s">
        <v>34</v>
      </c>
      <c r="B47">
        <v>12</v>
      </c>
      <c r="C47">
        <v>58.44699</v>
      </c>
    </row>
    <row r="48" spans="1:3" x14ac:dyDescent="0.2">
      <c r="A48" t="s">
        <v>127</v>
      </c>
      <c r="B48">
        <v>8</v>
      </c>
      <c r="C48">
        <v>47.708779999999997</v>
      </c>
    </row>
    <row r="49" spans="1:3" x14ac:dyDescent="0.2">
      <c r="A49" t="s">
        <v>93</v>
      </c>
      <c r="B49">
        <v>8</v>
      </c>
      <c r="C49">
        <v>44.8</v>
      </c>
    </row>
    <row r="50" spans="1:3" x14ac:dyDescent="0.2">
      <c r="A50" t="s">
        <v>512</v>
      </c>
      <c r="B50">
        <v>10</v>
      </c>
      <c r="C50">
        <v>40.160130000000002</v>
      </c>
    </row>
    <row r="51" spans="1:3" x14ac:dyDescent="0.2">
      <c r="A51" t="s">
        <v>41</v>
      </c>
      <c r="B51">
        <v>20</v>
      </c>
      <c r="C51">
        <v>38.982100000000003</v>
      </c>
    </row>
    <row r="53" spans="1:3" x14ac:dyDescent="0.2">
      <c r="A53" t="s">
        <v>535</v>
      </c>
    </row>
    <row r="54" spans="1:3" x14ac:dyDescent="0.2">
      <c r="A54" s="33" t="s">
        <v>556</v>
      </c>
    </row>
    <row r="55" spans="1:3" s="181" customFormat="1" x14ac:dyDescent="0.2">
      <c r="A55" s="33"/>
    </row>
    <row r="56" spans="1:3" x14ac:dyDescent="0.2">
      <c r="A56" s="34" t="s">
        <v>153</v>
      </c>
    </row>
    <row r="57" spans="1:3" x14ac:dyDescent="0.2">
      <c r="A57" s="113" t="s">
        <v>404</v>
      </c>
    </row>
  </sheetData>
  <phoneticPr fontId="7" type="noConversion"/>
  <hyperlinks>
    <hyperlink ref="A56" r:id="rId1"/>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Views>
    <sheetView topLeftCell="A34" workbookViewId="0">
      <selection activeCell="G1" sqref="G1"/>
    </sheetView>
  </sheetViews>
  <sheetFormatPr baseColWidth="10" defaultColWidth="9.1640625" defaultRowHeight="15" x14ac:dyDescent="0.2"/>
  <cols>
    <col min="1" max="1" width="9.1640625" style="157"/>
    <col min="2" max="2" width="20.33203125" style="157" customWidth="1"/>
    <col min="3" max="3" width="26.1640625" style="157" customWidth="1"/>
    <col min="4" max="16384" width="9.1640625" style="157"/>
  </cols>
  <sheetData>
    <row r="1" spans="1:6" ht="45" x14ac:dyDescent="0.2">
      <c r="A1" s="8" t="s">
        <v>88</v>
      </c>
      <c r="B1" s="177" t="s">
        <v>211</v>
      </c>
      <c r="C1" s="177" t="s">
        <v>599</v>
      </c>
    </row>
    <row r="2" spans="1:6" x14ac:dyDescent="0.2">
      <c r="A2" s="157" t="s">
        <v>99</v>
      </c>
      <c r="B2" s="157">
        <v>4</v>
      </c>
      <c r="C2" s="157">
        <v>100</v>
      </c>
      <c r="E2" s="157" t="s">
        <v>255</v>
      </c>
      <c r="F2" s="157" t="s">
        <v>97</v>
      </c>
    </row>
    <row r="3" spans="1:6" x14ac:dyDescent="0.2">
      <c r="A3" s="157" t="s">
        <v>109</v>
      </c>
      <c r="B3" s="157">
        <v>2</v>
      </c>
      <c r="C3" s="157">
        <v>100</v>
      </c>
      <c r="E3" s="157" t="s">
        <v>295</v>
      </c>
      <c r="F3" s="157" t="s">
        <v>80</v>
      </c>
    </row>
    <row r="4" spans="1:6" x14ac:dyDescent="0.2">
      <c r="A4" s="157" t="s">
        <v>110</v>
      </c>
      <c r="B4" s="157">
        <v>5</v>
      </c>
      <c r="C4" s="157">
        <v>100</v>
      </c>
      <c r="E4" s="157" t="s">
        <v>256</v>
      </c>
      <c r="F4" s="157" t="s">
        <v>98</v>
      </c>
    </row>
    <row r="5" spans="1:6" x14ac:dyDescent="0.2">
      <c r="A5" s="157" t="s">
        <v>121</v>
      </c>
      <c r="B5" s="157">
        <v>20</v>
      </c>
      <c r="C5" s="157">
        <v>100</v>
      </c>
      <c r="E5" s="157" t="s">
        <v>282</v>
      </c>
      <c r="F5" s="157" t="s">
        <v>99</v>
      </c>
    </row>
    <row r="6" spans="1:6" x14ac:dyDescent="0.2">
      <c r="A6" s="157" t="s">
        <v>107</v>
      </c>
      <c r="B6" s="157">
        <v>5</v>
      </c>
      <c r="C6" s="157">
        <v>99.865759999999995</v>
      </c>
      <c r="E6" s="157" t="s">
        <v>254</v>
      </c>
      <c r="F6" s="157" t="s">
        <v>100</v>
      </c>
    </row>
    <row r="7" spans="1:6" x14ac:dyDescent="0.2">
      <c r="A7" s="157" t="s">
        <v>95</v>
      </c>
      <c r="B7" s="157">
        <v>12</v>
      </c>
      <c r="C7" s="157">
        <v>99.817869999999999</v>
      </c>
      <c r="E7" s="157" t="s">
        <v>263</v>
      </c>
      <c r="F7" s="157" t="s">
        <v>92</v>
      </c>
    </row>
    <row r="8" spans="1:6" x14ac:dyDescent="0.2">
      <c r="A8" s="157" t="s">
        <v>118</v>
      </c>
      <c r="B8" s="157">
        <v>51</v>
      </c>
      <c r="C8" s="157">
        <v>99.250039999999998</v>
      </c>
      <c r="E8" s="157" t="s">
        <v>283</v>
      </c>
      <c r="F8" s="157" t="s">
        <v>102</v>
      </c>
    </row>
    <row r="9" spans="1:6" x14ac:dyDescent="0.2">
      <c r="A9" s="157" t="s">
        <v>35</v>
      </c>
      <c r="B9" s="157">
        <v>6</v>
      </c>
      <c r="C9" s="157">
        <v>99.094930000000005</v>
      </c>
      <c r="E9" s="157" t="s">
        <v>270</v>
      </c>
      <c r="F9" s="157" t="s">
        <v>93</v>
      </c>
    </row>
    <row r="10" spans="1:6" x14ac:dyDescent="0.2">
      <c r="A10" s="157" t="s">
        <v>119</v>
      </c>
      <c r="B10" s="157">
        <v>34</v>
      </c>
      <c r="C10" s="157">
        <v>98.912289999999999</v>
      </c>
      <c r="E10" s="157" t="s">
        <v>264</v>
      </c>
      <c r="F10" s="157" t="s">
        <v>104</v>
      </c>
    </row>
    <row r="11" spans="1:6" x14ac:dyDescent="0.2">
      <c r="A11" s="157" t="s">
        <v>113</v>
      </c>
      <c r="B11" s="157">
        <v>21</v>
      </c>
      <c r="C11" s="157">
        <v>97.9</v>
      </c>
      <c r="E11" s="157" t="s">
        <v>271</v>
      </c>
      <c r="F11" s="157" t="s">
        <v>81</v>
      </c>
    </row>
    <row r="12" spans="1:6" x14ac:dyDescent="0.2">
      <c r="A12" s="157" t="s">
        <v>125</v>
      </c>
      <c r="B12" s="157">
        <v>7</v>
      </c>
      <c r="C12" s="157">
        <v>97.362729999999999</v>
      </c>
      <c r="E12" s="157" t="s">
        <v>301</v>
      </c>
      <c r="F12" s="157" t="s">
        <v>106</v>
      </c>
    </row>
    <row r="13" spans="1:6" x14ac:dyDescent="0.2">
      <c r="A13" s="157" t="s">
        <v>82</v>
      </c>
      <c r="B13" s="157">
        <v>7</v>
      </c>
      <c r="C13" s="157">
        <v>96.285179999999997</v>
      </c>
      <c r="E13" s="157" t="s">
        <v>274</v>
      </c>
      <c r="F13" s="157" t="s">
        <v>107</v>
      </c>
    </row>
    <row r="14" spans="1:6" x14ac:dyDescent="0.2">
      <c r="A14" s="157" t="s">
        <v>36</v>
      </c>
      <c r="B14" s="157">
        <v>12</v>
      </c>
      <c r="C14" s="157">
        <v>95.777330000000006</v>
      </c>
      <c r="E14" s="157" t="s">
        <v>277</v>
      </c>
      <c r="F14" s="157" t="s">
        <v>108</v>
      </c>
    </row>
    <row r="15" spans="1:6" x14ac:dyDescent="0.2">
      <c r="A15" s="157" t="s">
        <v>108</v>
      </c>
      <c r="B15" s="157">
        <v>12</v>
      </c>
      <c r="C15" s="157">
        <v>95.542860000000005</v>
      </c>
      <c r="E15" s="157" t="s">
        <v>275</v>
      </c>
      <c r="F15" s="157" t="s">
        <v>109</v>
      </c>
    </row>
    <row r="16" spans="1:6" x14ac:dyDescent="0.2">
      <c r="A16" s="157" t="s">
        <v>39</v>
      </c>
      <c r="B16" s="157">
        <v>8</v>
      </c>
      <c r="C16" s="157">
        <v>94.992019999999997</v>
      </c>
      <c r="E16" s="157" t="s">
        <v>284</v>
      </c>
      <c r="F16" s="157" t="s">
        <v>110</v>
      </c>
    </row>
    <row r="17" spans="1:6" x14ac:dyDescent="0.2">
      <c r="A17" s="157" t="s">
        <v>22</v>
      </c>
      <c r="B17" s="157">
        <v>71</v>
      </c>
      <c r="C17" s="157">
        <v>94.518860000000004</v>
      </c>
      <c r="E17" s="157" t="s">
        <v>296</v>
      </c>
      <c r="F17" s="157" t="s">
        <v>111</v>
      </c>
    </row>
    <row r="18" spans="1:6" x14ac:dyDescent="0.2">
      <c r="A18" s="157" t="s">
        <v>98</v>
      </c>
      <c r="B18" s="157">
        <v>30</v>
      </c>
      <c r="C18" s="157">
        <v>94.1</v>
      </c>
      <c r="E18" s="157" t="s">
        <v>265</v>
      </c>
      <c r="F18" s="157" t="s">
        <v>94</v>
      </c>
    </row>
    <row r="19" spans="1:6" x14ac:dyDescent="0.2">
      <c r="A19" s="157" t="s">
        <v>100</v>
      </c>
      <c r="B19" s="157">
        <v>43</v>
      </c>
      <c r="C19" s="157">
        <v>93.711070000000007</v>
      </c>
      <c r="E19" s="157" t="s">
        <v>285</v>
      </c>
      <c r="F19" s="157" t="s">
        <v>82</v>
      </c>
    </row>
    <row r="20" spans="1:6" x14ac:dyDescent="0.2">
      <c r="A20" s="157" t="s">
        <v>151</v>
      </c>
      <c r="B20" s="157">
        <v>41</v>
      </c>
      <c r="C20" s="157">
        <v>93.648799999999994</v>
      </c>
      <c r="E20" s="157" t="s">
        <v>286</v>
      </c>
      <c r="F20" s="157" t="s">
        <v>32</v>
      </c>
    </row>
    <row r="21" spans="1:6" x14ac:dyDescent="0.2">
      <c r="A21" s="157" t="s">
        <v>104</v>
      </c>
      <c r="B21" s="157">
        <v>11</v>
      </c>
      <c r="C21" s="157">
        <v>93.010040000000004</v>
      </c>
      <c r="E21" s="157" t="s">
        <v>268</v>
      </c>
      <c r="F21" s="157" t="s">
        <v>113</v>
      </c>
    </row>
    <row r="22" spans="1:6" x14ac:dyDescent="0.2">
      <c r="A22" s="157" t="s">
        <v>42</v>
      </c>
      <c r="B22" s="157">
        <v>32</v>
      </c>
      <c r="C22" s="157">
        <v>91.5</v>
      </c>
      <c r="E22" s="157" t="s">
        <v>287</v>
      </c>
      <c r="F22" s="157" t="s">
        <v>114</v>
      </c>
    </row>
    <row r="23" spans="1:6" x14ac:dyDescent="0.2">
      <c r="A23" s="157" t="s">
        <v>114</v>
      </c>
      <c r="B23" s="157">
        <v>5</v>
      </c>
      <c r="C23" s="157">
        <v>91.004628690000004</v>
      </c>
      <c r="E23" s="157" t="s">
        <v>288</v>
      </c>
      <c r="F23" s="157" t="s">
        <v>115</v>
      </c>
    </row>
    <row r="24" spans="1:6" x14ac:dyDescent="0.2">
      <c r="A24" s="157" t="s">
        <v>40</v>
      </c>
      <c r="B24" s="157">
        <v>65</v>
      </c>
      <c r="C24" s="157">
        <v>89.937060000000002</v>
      </c>
      <c r="E24" s="157" t="s">
        <v>289</v>
      </c>
      <c r="F24" s="157" t="s">
        <v>116</v>
      </c>
    </row>
    <row r="25" spans="1:6" x14ac:dyDescent="0.2">
      <c r="A25" s="157" t="s">
        <v>130</v>
      </c>
      <c r="B25" s="157">
        <v>34</v>
      </c>
      <c r="C25" s="157">
        <v>89.597530000000006</v>
      </c>
      <c r="E25" s="157" t="s">
        <v>297</v>
      </c>
      <c r="F25" s="157" t="s">
        <v>117</v>
      </c>
    </row>
    <row r="26" spans="1:6" x14ac:dyDescent="0.2">
      <c r="A26" s="157" t="s">
        <v>120</v>
      </c>
      <c r="B26" s="157">
        <v>8</v>
      </c>
      <c r="C26" s="157">
        <v>89.117699999999999</v>
      </c>
      <c r="E26" s="157" t="s">
        <v>253</v>
      </c>
      <c r="F26" s="157" t="s">
        <v>118</v>
      </c>
    </row>
    <row r="27" spans="1:6" x14ac:dyDescent="0.2">
      <c r="A27" s="157" t="s">
        <v>124</v>
      </c>
      <c r="B27" s="157">
        <v>6</v>
      </c>
      <c r="C27" s="157">
        <v>87.681650000000005</v>
      </c>
      <c r="E27" s="157" t="s">
        <v>252</v>
      </c>
      <c r="F27" s="157" t="s">
        <v>22</v>
      </c>
    </row>
    <row r="28" spans="1:6" x14ac:dyDescent="0.2">
      <c r="A28" s="157" t="s">
        <v>92</v>
      </c>
      <c r="B28" s="157">
        <v>4</v>
      </c>
      <c r="C28" s="157">
        <v>87.00197</v>
      </c>
      <c r="E28" s="157" t="s">
        <v>266</v>
      </c>
      <c r="F28" s="157" t="s">
        <v>119</v>
      </c>
    </row>
    <row r="29" spans="1:6" x14ac:dyDescent="0.2">
      <c r="A29" s="157" t="s">
        <v>38</v>
      </c>
      <c r="B29" s="157">
        <v>4</v>
      </c>
      <c r="C29" s="157">
        <v>86.544110000000003</v>
      </c>
      <c r="E29" s="157" t="s">
        <v>272</v>
      </c>
      <c r="F29" s="157" t="s">
        <v>120</v>
      </c>
    </row>
    <row r="30" spans="1:6" x14ac:dyDescent="0.2">
      <c r="A30" s="157" t="s">
        <v>129</v>
      </c>
      <c r="B30" s="157">
        <v>27</v>
      </c>
      <c r="C30" s="157">
        <v>86.058819999999997</v>
      </c>
      <c r="E30" s="157" t="s">
        <v>290</v>
      </c>
      <c r="F30" s="157" t="s">
        <v>121</v>
      </c>
    </row>
    <row r="31" spans="1:6" x14ac:dyDescent="0.2">
      <c r="A31" s="157" t="s">
        <v>81</v>
      </c>
      <c r="B31" s="157">
        <v>17</v>
      </c>
      <c r="C31" s="157">
        <v>84.989320000000006</v>
      </c>
      <c r="E31" s="157" t="s">
        <v>278</v>
      </c>
      <c r="F31" s="157" t="s">
        <v>122</v>
      </c>
    </row>
    <row r="32" spans="1:6" x14ac:dyDescent="0.2">
      <c r="A32" s="157" t="s">
        <v>116</v>
      </c>
      <c r="B32" s="157">
        <v>7</v>
      </c>
      <c r="C32" s="157">
        <v>84.367369999999994</v>
      </c>
      <c r="E32" s="157" t="s">
        <v>299</v>
      </c>
      <c r="F32" s="157" t="s">
        <v>23</v>
      </c>
    </row>
    <row r="33" spans="1:6" x14ac:dyDescent="0.2">
      <c r="A33" s="157" t="s">
        <v>123</v>
      </c>
      <c r="B33" s="157">
        <v>8</v>
      </c>
      <c r="C33" s="157">
        <v>84.157210000000006</v>
      </c>
      <c r="E33" s="157" t="s">
        <v>259</v>
      </c>
      <c r="F33" s="157" t="s">
        <v>123</v>
      </c>
    </row>
    <row r="34" spans="1:6" x14ac:dyDescent="0.2">
      <c r="A34" s="157" t="s">
        <v>97</v>
      </c>
      <c r="B34" s="157">
        <v>27</v>
      </c>
      <c r="C34" s="157">
        <v>81.773169999999993</v>
      </c>
      <c r="E34" s="157" t="s">
        <v>279</v>
      </c>
      <c r="F34" s="157" t="s">
        <v>124</v>
      </c>
    </row>
    <row r="35" spans="1:6" x14ac:dyDescent="0.2">
      <c r="A35" s="157" t="s">
        <v>115</v>
      </c>
      <c r="B35" s="157">
        <v>6</v>
      </c>
      <c r="C35" s="157">
        <v>80.519639999999995</v>
      </c>
      <c r="E35" s="157" t="s">
        <v>280</v>
      </c>
      <c r="F35" s="157" t="s">
        <v>125</v>
      </c>
    </row>
    <row r="36" spans="1:6" x14ac:dyDescent="0.2">
      <c r="A36" s="157" t="s">
        <v>126</v>
      </c>
      <c r="B36" s="157">
        <v>5</v>
      </c>
      <c r="C36" s="157">
        <v>79.416430000000005</v>
      </c>
      <c r="E36" s="157" t="s">
        <v>276</v>
      </c>
      <c r="F36" s="157" t="s">
        <v>126</v>
      </c>
    </row>
    <row r="37" spans="1:6" x14ac:dyDescent="0.2">
      <c r="A37" s="157" t="s">
        <v>111</v>
      </c>
      <c r="B37" s="157">
        <v>8</v>
      </c>
      <c r="C37" s="157">
        <v>78.012259999999998</v>
      </c>
      <c r="E37" s="157" t="s">
        <v>291</v>
      </c>
      <c r="F37" s="157" t="s">
        <v>127</v>
      </c>
    </row>
    <row r="38" spans="1:6" x14ac:dyDescent="0.2">
      <c r="A38" s="157" t="s">
        <v>102</v>
      </c>
      <c r="B38" s="157">
        <v>8</v>
      </c>
      <c r="C38" s="157">
        <v>77.504840000000002</v>
      </c>
      <c r="E38" s="157" t="s">
        <v>257</v>
      </c>
      <c r="F38" s="157" t="s">
        <v>128</v>
      </c>
    </row>
    <row r="39" spans="1:6" x14ac:dyDescent="0.2">
      <c r="A39" s="157" t="s">
        <v>106</v>
      </c>
      <c r="B39" s="157">
        <v>10</v>
      </c>
      <c r="C39" s="157">
        <v>72.2</v>
      </c>
      <c r="E39" s="157" t="s">
        <v>269</v>
      </c>
      <c r="F39" s="157" t="s">
        <v>129</v>
      </c>
    </row>
    <row r="40" spans="1:6" x14ac:dyDescent="0.2">
      <c r="A40" s="157" t="s">
        <v>117</v>
      </c>
      <c r="B40" s="157">
        <v>4</v>
      </c>
      <c r="C40" s="157">
        <v>71.249020000000002</v>
      </c>
      <c r="E40" s="157" t="s">
        <v>258</v>
      </c>
      <c r="F40" s="157" t="s">
        <v>130</v>
      </c>
    </row>
    <row r="41" spans="1:6" x14ac:dyDescent="0.2">
      <c r="A41" s="157" t="s">
        <v>122</v>
      </c>
      <c r="B41" s="157">
        <v>8</v>
      </c>
      <c r="C41" s="157">
        <v>68.553539999999998</v>
      </c>
      <c r="E41" s="157" t="s">
        <v>292</v>
      </c>
      <c r="F41" s="157" t="s">
        <v>33</v>
      </c>
    </row>
    <row r="42" spans="1:6" x14ac:dyDescent="0.2">
      <c r="A42" s="157" t="s">
        <v>37</v>
      </c>
      <c r="B42" s="157">
        <v>6</v>
      </c>
      <c r="C42" s="157">
        <v>66.762129999999999</v>
      </c>
      <c r="E42" s="157" t="s">
        <v>260</v>
      </c>
      <c r="F42" s="157" t="s">
        <v>34</v>
      </c>
    </row>
    <row r="43" spans="1:6" x14ac:dyDescent="0.2">
      <c r="A43" s="157" t="s">
        <v>32</v>
      </c>
      <c r="B43" s="157">
        <v>3</v>
      </c>
      <c r="C43" s="157">
        <v>59.506990000000002</v>
      </c>
      <c r="E43" s="157" t="s">
        <v>273</v>
      </c>
      <c r="F43" s="157" t="s">
        <v>35</v>
      </c>
    </row>
    <row r="44" spans="1:6" x14ac:dyDescent="0.2">
      <c r="A44" s="157" t="s">
        <v>34</v>
      </c>
      <c r="B44" s="157">
        <v>12</v>
      </c>
      <c r="C44" s="157">
        <v>58.44699</v>
      </c>
      <c r="E44" s="157" t="s">
        <v>293</v>
      </c>
      <c r="F44" s="157" t="s">
        <v>36</v>
      </c>
    </row>
    <row r="45" spans="1:6" x14ac:dyDescent="0.2">
      <c r="A45" s="157" t="s">
        <v>127</v>
      </c>
      <c r="B45" s="157">
        <v>8</v>
      </c>
      <c r="C45" s="157">
        <v>47.708779999999997</v>
      </c>
      <c r="E45" s="157" t="s">
        <v>300</v>
      </c>
      <c r="F45" s="157" t="s">
        <v>37</v>
      </c>
    </row>
    <row r="46" spans="1:6" x14ac:dyDescent="0.2">
      <c r="A46" s="157" t="s">
        <v>93</v>
      </c>
      <c r="B46" s="157">
        <v>8</v>
      </c>
      <c r="C46" s="157">
        <v>44.8</v>
      </c>
      <c r="E46" s="157" t="s">
        <v>294</v>
      </c>
      <c r="F46" s="157" t="s">
        <v>38</v>
      </c>
    </row>
    <row r="47" spans="1:6" x14ac:dyDescent="0.2">
      <c r="A47" s="157" t="s">
        <v>217</v>
      </c>
      <c r="B47" s="157">
        <v>10</v>
      </c>
      <c r="C47" s="157">
        <v>40.160130000000002</v>
      </c>
      <c r="E47" s="157" t="s">
        <v>298</v>
      </c>
      <c r="F47" s="157" t="s">
        <v>39</v>
      </c>
    </row>
    <row r="48" spans="1:6" x14ac:dyDescent="0.2">
      <c r="A48" s="157" t="s">
        <v>41</v>
      </c>
      <c r="B48" s="157">
        <v>20</v>
      </c>
      <c r="C48" s="157">
        <v>38.982100000000003</v>
      </c>
      <c r="E48" s="157" t="s">
        <v>250</v>
      </c>
      <c r="F48" s="157" t="s">
        <v>40</v>
      </c>
    </row>
    <row r="49" spans="1:6" x14ac:dyDescent="0.2">
      <c r="E49" s="157" t="s">
        <v>267</v>
      </c>
      <c r="F49" s="157" t="s">
        <v>512</v>
      </c>
    </row>
    <row r="50" spans="1:6" x14ac:dyDescent="0.2">
      <c r="A50" s="157" t="s">
        <v>535</v>
      </c>
      <c r="E50" s="157" t="s">
        <v>261</v>
      </c>
      <c r="F50" s="157" t="s">
        <v>41</v>
      </c>
    </row>
    <row r="51" spans="1:6" x14ac:dyDescent="0.2">
      <c r="A51" s="157" t="s">
        <v>600</v>
      </c>
      <c r="E51" s="157" t="s">
        <v>249</v>
      </c>
      <c r="F51" s="157" t="s">
        <v>83</v>
      </c>
    </row>
    <row r="52" spans="1:6" x14ac:dyDescent="0.2">
      <c r="A52" s="164"/>
      <c r="E52" s="157" t="s">
        <v>262</v>
      </c>
      <c r="F52" s="157" t="s">
        <v>42</v>
      </c>
    </row>
    <row r="53" spans="1:6" x14ac:dyDescent="0.2">
      <c r="E53" s="157" t="s">
        <v>281</v>
      </c>
      <c r="F53" s="157" t="s">
        <v>154</v>
      </c>
    </row>
    <row r="54" spans="1:6" x14ac:dyDescent="0.2">
      <c r="E54" s="157" t="s">
        <v>251</v>
      </c>
      <c r="F54" s="157" t="s">
        <v>155</v>
      </c>
    </row>
    <row r="56" spans="1:6" x14ac:dyDescent="0.2">
      <c r="A56" s="157" t="s">
        <v>208</v>
      </c>
    </row>
  </sheetData>
  <phoneticPr fontId="7"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2"/>
  <sheetViews>
    <sheetView zoomScale="70" zoomScaleNormal="70" zoomScalePageLayoutView="70" workbookViewId="0">
      <selection activeCell="S45" sqref="S45"/>
    </sheetView>
  </sheetViews>
  <sheetFormatPr baseColWidth="10" defaultColWidth="9.1640625" defaultRowHeight="15" x14ac:dyDescent="0.2"/>
  <sheetData>
    <row r="1" spans="1:12" x14ac:dyDescent="0.2">
      <c r="A1" s="3" t="s">
        <v>366</v>
      </c>
    </row>
    <row r="2" spans="1:12" x14ac:dyDescent="0.2">
      <c r="A2" t="s">
        <v>221</v>
      </c>
    </row>
    <row r="4" spans="1:12" x14ac:dyDescent="0.2">
      <c r="A4" s="3" t="s">
        <v>222</v>
      </c>
    </row>
    <row r="5" spans="1:12" x14ac:dyDescent="0.2">
      <c r="A5" s="72" t="s">
        <v>223</v>
      </c>
    </row>
    <row r="6" spans="1:12" x14ac:dyDescent="0.2">
      <c r="G6" s="252" t="s">
        <v>224</v>
      </c>
      <c r="H6" s="252"/>
      <c r="I6" s="252"/>
      <c r="J6" s="252"/>
      <c r="K6" s="252"/>
      <c r="L6" s="252"/>
    </row>
    <row r="7" spans="1:12" x14ac:dyDescent="0.2">
      <c r="A7" s="73" t="s">
        <v>225</v>
      </c>
      <c r="B7" s="73" t="s">
        <v>88</v>
      </c>
      <c r="C7" s="73" t="s">
        <v>213</v>
      </c>
      <c r="D7" s="73" t="s">
        <v>84</v>
      </c>
      <c r="E7" s="73" t="s">
        <v>226</v>
      </c>
      <c r="F7" s="73" t="s">
        <v>227</v>
      </c>
      <c r="G7" s="73" t="s">
        <v>228</v>
      </c>
      <c r="H7" s="73" t="s">
        <v>229</v>
      </c>
      <c r="I7" s="73" t="s">
        <v>230</v>
      </c>
      <c r="J7" s="73" t="s">
        <v>231</v>
      </c>
      <c r="K7" s="73" t="s">
        <v>232</v>
      </c>
      <c r="L7" s="73" t="s">
        <v>368</v>
      </c>
    </row>
    <row r="8" spans="1:12" x14ac:dyDescent="0.2">
      <c r="A8" t="s">
        <v>250</v>
      </c>
      <c r="B8" t="s">
        <v>40</v>
      </c>
      <c r="C8">
        <v>2012</v>
      </c>
      <c r="D8">
        <v>78.8</v>
      </c>
      <c r="E8">
        <v>82.7</v>
      </c>
      <c r="F8">
        <v>77.7</v>
      </c>
      <c r="G8">
        <v>66.3</v>
      </c>
      <c r="H8">
        <v>70.900000000000006</v>
      </c>
      <c r="I8">
        <v>81.7</v>
      </c>
      <c r="J8">
        <v>89.7</v>
      </c>
      <c r="K8">
        <v>86.7</v>
      </c>
      <c r="L8" t="s">
        <v>369</v>
      </c>
    </row>
    <row r="9" spans="1:12" x14ac:dyDescent="0.2">
      <c r="A9" t="s">
        <v>270</v>
      </c>
      <c r="B9" t="s">
        <v>93</v>
      </c>
      <c r="C9" t="s">
        <v>370</v>
      </c>
      <c r="D9">
        <v>87</v>
      </c>
      <c r="E9">
        <v>85.3</v>
      </c>
      <c r="F9">
        <v>87.7</v>
      </c>
      <c r="G9">
        <v>93.1</v>
      </c>
      <c r="H9">
        <v>82</v>
      </c>
      <c r="I9">
        <v>86.4</v>
      </c>
      <c r="J9">
        <v>86.7</v>
      </c>
      <c r="K9">
        <v>88.9</v>
      </c>
      <c r="L9" t="s">
        <v>371</v>
      </c>
    </row>
    <row r="10" spans="1:12" x14ac:dyDescent="0.2">
      <c r="A10" t="s">
        <v>254</v>
      </c>
      <c r="B10" t="s">
        <v>100</v>
      </c>
      <c r="C10">
        <v>2006</v>
      </c>
      <c r="D10">
        <v>76.599999999999994</v>
      </c>
      <c r="E10">
        <v>89.7</v>
      </c>
      <c r="F10">
        <v>62.7</v>
      </c>
      <c r="G10">
        <v>53.2</v>
      </c>
      <c r="H10">
        <v>68.8</v>
      </c>
      <c r="I10">
        <v>81.5</v>
      </c>
      <c r="J10">
        <v>91.3</v>
      </c>
      <c r="K10">
        <v>95.3</v>
      </c>
      <c r="L10" t="s">
        <v>372</v>
      </c>
    </row>
    <row r="11" spans="1:12" x14ac:dyDescent="0.2">
      <c r="A11" t="s">
        <v>261</v>
      </c>
      <c r="B11" t="s">
        <v>41</v>
      </c>
      <c r="C11">
        <v>2008</v>
      </c>
      <c r="D11">
        <v>92</v>
      </c>
      <c r="E11">
        <v>94.7</v>
      </c>
      <c r="F11">
        <v>84.2</v>
      </c>
      <c r="G11">
        <v>76.099999999999994</v>
      </c>
      <c r="H11">
        <v>90.6</v>
      </c>
      <c r="I11">
        <v>98.5</v>
      </c>
      <c r="J11">
        <v>98</v>
      </c>
      <c r="K11">
        <v>98.6</v>
      </c>
      <c r="L11" t="s">
        <v>373</v>
      </c>
    </row>
    <row r="12" spans="1:12" x14ac:dyDescent="0.2">
      <c r="A12" t="s">
        <v>269</v>
      </c>
      <c r="B12" t="s">
        <v>129</v>
      </c>
      <c r="C12">
        <v>2004</v>
      </c>
      <c r="D12">
        <v>93.5</v>
      </c>
      <c r="E12">
        <v>96</v>
      </c>
      <c r="F12">
        <v>91.1</v>
      </c>
      <c r="G12" t="s">
        <v>374</v>
      </c>
      <c r="H12" t="s">
        <v>374</v>
      </c>
      <c r="I12" t="s">
        <v>374</v>
      </c>
      <c r="J12" t="s">
        <v>374</v>
      </c>
      <c r="K12" t="s">
        <v>374</v>
      </c>
      <c r="L12" t="s">
        <v>375</v>
      </c>
    </row>
    <row r="13" spans="1:12" x14ac:dyDescent="0.2">
      <c r="A13" t="s">
        <v>259</v>
      </c>
      <c r="B13" t="s">
        <v>123</v>
      </c>
      <c r="C13" t="s">
        <v>376</v>
      </c>
      <c r="D13">
        <v>97.4</v>
      </c>
      <c r="E13">
        <v>97.3</v>
      </c>
      <c r="F13">
        <v>97.4</v>
      </c>
      <c r="G13">
        <v>93.4</v>
      </c>
      <c r="H13">
        <v>100</v>
      </c>
      <c r="I13">
        <v>97.5</v>
      </c>
      <c r="J13">
        <v>98.4</v>
      </c>
      <c r="K13">
        <v>97.2</v>
      </c>
      <c r="L13" t="s">
        <v>377</v>
      </c>
    </row>
    <row r="14" spans="1:12" x14ac:dyDescent="0.2">
      <c r="A14" t="s">
        <v>249</v>
      </c>
      <c r="B14" t="s">
        <v>83</v>
      </c>
      <c r="C14">
        <v>2000</v>
      </c>
      <c r="D14">
        <v>98.1</v>
      </c>
      <c r="E14">
        <v>97.9</v>
      </c>
      <c r="F14">
        <v>98.3</v>
      </c>
      <c r="G14" t="s">
        <v>374</v>
      </c>
      <c r="H14" t="s">
        <v>374</v>
      </c>
      <c r="I14" t="s">
        <v>374</v>
      </c>
      <c r="J14" t="s">
        <v>374</v>
      </c>
      <c r="K14" t="s">
        <v>374</v>
      </c>
      <c r="L14" t="s">
        <v>378</v>
      </c>
    </row>
    <row r="15" spans="1:12" x14ac:dyDescent="0.2">
      <c r="A15" t="s">
        <v>256</v>
      </c>
      <c r="B15" t="s">
        <v>98</v>
      </c>
      <c r="C15">
        <v>2010</v>
      </c>
      <c r="D15">
        <v>99.1</v>
      </c>
      <c r="E15">
        <v>98.4</v>
      </c>
      <c r="F15">
        <v>100</v>
      </c>
      <c r="G15">
        <v>99.6</v>
      </c>
      <c r="H15">
        <v>98.8</v>
      </c>
      <c r="I15">
        <v>99.7</v>
      </c>
      <c r="J15">
        <v>97.7</v>
      </c>
      <c r="K15">
        <v>99.7</v>
      </c>
      <c r="L15" t="s">
        <v>379</v>
      </c>
    </row>
    <row r="16" spans="1:12" x14ac:dyDescent="0.2">
      <c r="A16" t="s">
        <v>257</v>
      </c>
      <c r="B16" t="s">
        <v>128</v>
      </c>
      <c r="C16">
        <v>2012</v>
      </c>
      <c r="D16">
        <v>98.8</v>
      </c>
      <c r="E16">
        <v>98.6</v>
      </c>
      <c r="F16">
        <v>98.9</v>
      </c>
      <c r="G16">
        <v>94.9</v>
      </c>
      <c r="H16">
        <v>100</v>
      </c>
      <c r="I16">
        <v>99.6</v>
      </c>
      <c r="J16">
        <v>99.5</v>
      </c>
      <c r="K16">
        <v>98.9</v>
      </c>
      <c r="L16" t="s">
        <v>380</v>
      </c>
    </row>
    <row r="17" spans="1:22" x14ac:dyDescent="0.2">
      <c r="A17" t="s">
        <v>252</v>
      </c>
      <c r="B17" t="s">
        <v>22</v>
      </c>
      <c r="C17">
        <v>2012</v>
      </c>
      <c r="D17">
        <v>97</v>
      </c>
      <c r="E17">
        <v>98.7</v>
      </c>
      <c r="F17">
        <v>96.2</v>
      </c>
      <c r="G17">
        <v>95.5</v>
      </c>
      <c r="H17">
        <v>96.5</v>
      </c>
      <c r="I17">
        <v>97.7</v>
      </c>
      <c r="J17">
        <v>96.2</v>
      </c>
      <c r="K17">
        <v>99.2</v>
      </c>
      <c r="L17" t="s">
        <v>369</v>
      </c>
    </row>
    <row r="18" spans="1:22" x14ac:dyDescent="0.2">
      <c r="A18" t="s">
        <v>262</v>
      </c>
      <c r="B18" t="s">
        <v>42</v>
      </c>
      <c r="C18">
        <v>2012</v>
      </c>
      <c r="D18">
        <v>98.6</v>
      </c>
      <c r="E18">
        <v>98.9</v>
      </c>
      <c r="F18">
        <v>98.1</v>
      </c>
      <c r="G18">
        <v>98.8</v>
      </c>
      <c r="H18">
        <v>97.1</v>
      </c>
      <c r="I18">
        <v>98.8</v>
      </c>
      <c r="J18">
        <v>99.4</v>
      </c>
      <c r="K18">
        <v>99.3</v>
      </c>
      <c r="L18" t="s">
        <v>381</v>
      </c>
    </row>
    <row r="19" spans="1:22" x14ac:dyDescent="0.2">
      <c r="A19" t="s">
        <v>253</v>
      </c>
      <c r="B19" t="s">
        <v>118</v>
      </c>
      <c r="C19" t="s">
        <v>235</v>
      </c>
      <c r="D19">
        <v>99.2</v>
      </c>
      <c r="E19">
        <v>99</v>
      </c>
      <c r="F19">
        <v>99.4</v>
      </c>
      <c r="G19">
        <v>98.8</v>
      </c>
      <c r="H19">
        <v>99.8</v>
      </c>
      <c r="I19">
        <v>98.8</v>
      </c>
      <c r="J19">
        <v>99.3</v>
      </c>
      <c r="K19">
        <v>99.2</v>
      </c>
      <c r="L19" t="s">
        <v>236</v>
      </c>
    </row>
    <row r="20" spans="1:22" x14ac:dyDescent="0.2">
      <c r="A20" t="s">
        <v>255</v>
      </c>
      <c r="B20" t="s">
        <v>97</v>
      </c>
      <c r="C20" t="s">
        <v>237</v>
      </c>
      <c r="D20">
        <v>97.3</v>
      </c>
      <c r="E20">
        <v>99.1</v>
      </c>
      <c r="F20">
        <v>96.2</v>
      </c>
      <c r="G20">
        <v>93.3</v>
      </c>
      <c r="H20">
        <v>95.7</v>
      </c>
      <c r="I20">
        <v>99</v>
      </c>
      <c r="J20">
        <v>99.9</v>
      </c>
      <c r="K20">
        <v>99.3</v>
      </c>
      <c r="L20" t="s">
        <v>238</v>
      </c>
    </row>
    <row r="21" spans="1:22" x14ac:dyDescent="0.2">
      <c r="A21" t="s">
        <v>265</v>
      </c>
      <c r="B21" t="s">
        <v>94</v>
      </c>
      <c r="C21">
        <v>2010</v>
      </c>
      <c r="D21">
        <v>97.6</v>
      </c>
      <c r="E21">
        <v>99.1</v>
      </c>
      <c r="F21">
        <v>96.1</v>
      </c>
      <c r="G21">
        <v>94</v>
      </c>
      <c r="H21">
        <v>96.9</v>
      </c>
      <c r="I21">
        <v>97.6</v>
      </c>
      <c r="J21">
        <v>98</v>
      </c>
      <c r="K21">
        <v>100.1</v>
      </c>
      <c r="L21" t="s">
        <v>239</v>
      </c>
    </row>
    <row r="22" spans="1:22" x14ac:dyDescent="0.2">
      <c r="A22" t="s">
        <v>251</v>
      </c>
      <c r="B22" t="s">
        <v>155</v>
      </c>
      <c r="C22">
        <v>2006</v>
      </c>
      <c r="D22">
        <v>99</v>
      </c>
      <c r="E22">
        <v>99.1</v>
      </c>
      <c r="F22">
        <v>99</v>
      </c>
      <c r="G22">
        <v>98</v>
      </c>
      <c r="H22">
        <v>98.2</v>
      </c>
      <c r="I22">
        <v>99.7</v>
      </c>
      <c r="J22">
        <v>100</v>
      </c>
      <c r="K22">
        <v>99.2</v>
      </c>
      <c r="L22" t="s">
        <v>240</v>
      </c>
    </row>
    <row r="23" spans="1:22" x14ac:dyDescent="0.2">
      <c r="A23" t="s">
        <v>267</v>
      </c>
      <c r="B23" t="s">
        <v>85</v>
      </c>
      <c r="C23">
        <v>2011</v>
      </c>
      <c r="D23">
        <v>98.6</v>
      </c>
      <c r="E23">
        <v>99.6</v>
      </c>
      <c r="F23">
        <v>97.5</v>
      </c>
      <c r="G23">
        <v>97</v>
      </c>
      <c r="H23">
        <v>98</v>
      </c>
      <c r="I23">
        <v>98.3</v>
      </c>
      <c r="J23">
        <v>100</v>
      </c>
      <c r="K23">
        <v>99.6</v>
      </c>
      <c r="L23" t="s">
        <v>241</v>
      </c>
    </row>
    <row r="24" spans="1:22" x14ac:dyDescent="0.2">
      <c r="A24" t="s">
        <v>260</v>
      </c>
      <c r="B24" t="s">
        <v>34</v>
      </c>
      <c r="C24">
        <v>2010</v>
      </c>
      <c r="D24">
        <v>99</v>
      </c>
      <c r="E24">
        <v>99.7</v>
      </c>
      <c r="F24">
        <v>98.2</v>
      </c>
      <c r="G24">
        <v>95.4</v>
      </c>
      <c r="H24">
        <v>100</v>
      </c>
      <c r="I24">
        <v>100</v>
      </c>
      <c r="J24">
        <v>100</v>
      </c>
      <c r="K24">
        <v>99.8</v>
      </c>
      <c r="L24" t="s">
        <v>242</v>
      </c>
    </row>
    <row r="25" spans="1:22" x14ac:dyDescent="0.2">
      <c r="A25" t="s">
        <v>263</v>
      </c>
      <c r="B25" t="s">
        <v>92</v>
      </c>
      <c r="C25">
        <v>2012</v>
      </c>
      <c r="D25">
        <v>99.7</v>
      </c>
      <c r="E25">
        <v>100</v>
      </c>
      <c r="F25">
        <v>98.8</v>
      </c>
      <c r="G25">
        <v>97.8</v>
      </c>
      <c r="H25">
        <v>100</v>
      </c>
      <c r="I25">
        <v>100</v>
      </c>
      <c r="J25">
        <v>100</v>
      </c>
      <c r="K25">
        <v>100</v>
      </c>
      <c r="L25" t="s">
        <v>381</v>
      </c>
    </row>
    <row r="28" spans="1:22" x14ac:dyDescent="0.2">
      <c r="A28" s="74" t="s">
        <v>243</v>
      </c>
      <c r="B28" s="75" t="s">
        <v>304</v>
      </c>
      <c r="C28" s="76"/>
      <c r="D28" s="76"/>
      <c r="E28" s="76"/>
      <c r="F28" s="76"/>
      <c r="G28" s="76"/>
      <c r="H28" s="76"/>
      <c r="I28" s="76"/>
      <c r="J28" s="76"/>
      <c r="K28" s="77"/>
    </row>
    <row r="29" spans="1:22" x14ac:dyDescent="0.2">
      <c r="A29" s="78"/>
      <c r="B29" s="75" t="s">
        <v>309</v>
      </c>
      <c r="C29" s="76"/>
      <c r="D29" s="76"/>
      <c r="E29" s="76"/>
      <c r="F29" s="76"/>
      <c r="G29" s="76"/>
      <c r="H29" s="76"/>
      <c r="I29" s="76"/>
      <c r="J29" s="76"/>
      <c r="K29" s="77"/>
    </row>
    <row r="31" spans="1:22" ht="15" customHeight="1" x14ac:dyDescent="0.2">
      <c r="O31" s="193" t="s">
        <v>388</v>
      </c>
      <c r="P31" s="194"/>
      <c r="Q31" s="194"/>
      <c r="R31" s="194"/>
      <c r="S31" s="194"/>
      <c r="T31" s="194"/>
      <c r="U31" s="194"/>
      <c r="V31" s="195"/>
    </row>
    <row r="32" spans="1:22" ht="15" customHeight="1" x14ac:dyDescent="0.2">
      <c r="O32" s="196"/>
      <c r="P32" s="197"/>
      <c r="Q32" s="197"/>
      <c r="R32" s="197"/>
      <c r="S32" s="197"/>
      <c r="T32" s="197"/>
      <c r="U32" s="197"/>
      <c r="V32" s="198"/>
    </row>
    <row r="33" spans="1:22" ht="15" customHeight="1" x14ac:dyDescent="0.2">
      <c r="O33" s="196"/>
      <c r="P33" s="197"/>
      <c r="Q33" s="197"/>
      <c r="R33" s="197"/>
      <c r="S33" s="197"/>
      <c r="T33" s="197"/>
      <c r="U33" s="197"/>
      <c r="V33" s="198"/>
    </row>
    <row r="34" spans="1:22" ht="15" customHeight="1" x14ac:dyDescent="0.2">
      <c r="O34" s="196"/>
      <c r="P34" s="197"/>
      <c r="Q34" s="197"/>
      <c r="R34" s="197"/>
      <c r="S34" s="197"/>
      <c r="T34" s="197"/>
      <c r="U34" s="197"/>
      <c r="V34" s="198"/>
    </row>
    <row r="35" spans="1:22" ht="15" customHeight="1" x14ac:dyDescent="0.2">
      <c r="O35" s="196"/>
      <c r="P35" s="197"/>
      <c r="Q35" s="197"/>
      <c r="R35" s="197"/>
      <c r="S35" s="197"/>
      <c r="T35" s="197"/>
      <c r="U35" s="197"/>
      <c r="V35" s="198"/>
    </row>
    <row r="36" spans="1:22" x14ac:dyDescent="0.2">
      <c r="O36" s="196"/>
      <c r="P36" s="197"/>
      <c r="Q36" s="197"/>
      <c r="R36" s="197"/>
      <c r="S36" s="197"/>
      <c r="T36" s="197"/>
      <c r="U36" s="197"/>
      <c r="V36" s="198"/>
    </row>
    <row r="37" spans="1:22" x14ac:dyDescent="0.2">
      <c r="O37" s="196"/>
      <c r="P37" s="197"/>
      <c r="Q37" s="197"/>
      <c r="R37" s="197"/>
      <c r="S37" s="197"/>
      <c r="T37" s="197"/>
      <c r="U37" s="197"/>
      <c r="V37" s="198"/>
    </row>
    <row r="38" spans="1:22" x14ac:dyDescent="0.2">
      <c r="O38" s="199"/>
      <c r="P38" s="200"/>
      <c r="Q38" s="200"/>
      <c r="R38" s="200"/>
      <c r="S38" s="200"/>
      <c r="T38" s="200"/>
      <c r="U38" s="200"/>
      <c r="V38" s="201"/>
    </row>
    <row r="39" spans="1:22" x14ac:dyDescent="0.2">
      <c r="A39" s="79" t="s">
        <v>310</v>
      </c>
      <c r="B39" s="253" t="s">
        <v>307</v>
      </c>
      <c r="C39" s="253"/>
      <c r="D39" s="253"/>
      <c r="E39" s="253"/>
      <c r="F39" s="253"/>
      <c r="G39" s="253"/>
      <c r="H39" s="253"/>
      <c r="I39" s="253"/>
      <c r="J39" s="253"/>
      <c r="K39" s="253"/>
      <c r="L39" s="80"/>
      <c r="M39" s="80"/>
      <c r="N39" s="80"/>
      <c r="O39" s="102"/>
      <c r="P39" s="102"/>
      <c r="Q39" s="102"/>
      <c r="R39" s="102"/>
      <c r="S39" s="102"/>
      <c r="T39" s="102"/>
      <c r="U39" s="102"/>
      <c r="V39" s="102"/>
    </row>
    <row r="40" spans="1:22" x14ac:dyDescent="0.2">
      <c r="B40" s="80" t="s">
        <v>311</v>
      </c>
      <c r="C40" s="80"/>
      <c r="D40" s="80"/>
      <c r="E40" s="80"/>
      <c r="F40" s="80"/>
      <c r="G40" s="80"/>
      <c r="H40" s="80"/>
      <c r="I40" s="80"/>
      <c r="J40" s="80"/>
      <c r="K40" s="81"/>
      <c r="L40" s="80"/>
      <c r="M40" s="80"/>
      <c r="N40" s="80"/>
      <c r="O40" s="80"/>
    </row>
    <row r="41" spans="1:22" x14ac:dyDescent="0.2">
      <c r="K41" s="81"/>
    </row>
    <row r="42" spans="1:22" x14ac:dyDescent="0.2">
      <c r="A42" s="82"/>
      <c r="B42" s="83" t="s">
        <v>312</v>
      </c>
      <c r="C42" s="81"/>
      <c r="D42" s="81"/>
      <c r="E42" s="81"/>
      <c r="F42" s="81"/>
      <c r="G42" s="81"/>
      <c r="H42" s="81"/>
      <c r="I42" s="81"/>
      <c r="J42" s="81"/>
      <c r="K42" s="81"/>
    </row>
    <row r="43" spans="1:22" x14ac:dyDescent="0.2">
      <c r="A43" s="84"/>
      <c r="B43" s="85" t="s">
        <v>313</v>
      </c>
      <c r="C43" s="86" t="s">
        <v>314</v>
      </c>
      <c r="D43" s="87"/>
      <c r="E43" s="81"/>
      <c r="F43" s="81"/>
      <c r="G43" s="81"/>
      <c r="H43" s="81"/>
      <c r="I43" s="81"/>
      <c r="J43" s="81"/>
      <c r="K43" s="81"/>
    </row>
    <row r="44" spans="1:22" x14ac:dyDescent="0.2">
      <c r="A44" s="84"/>
      <c r="B44" s="85" t="s">
        <v>315</v>
      </c>
      <c r="C44" s="86" t="s">
        <v>316</v>
      </c>
      <c r="D44" s="87"/>
      <c r="E44" s="81"/>
      <c r="F44" s="81"/>
      <c r="G44" s="81"/>
      <c r="H44" s="81"/>
      <c r="I44" s="81"/>
      <c r="J44" s="81"/>
      <c r="K44" s="81"/>
    </row>
    <row r="45" spans="1:22" x14ac:dyDescent="0.2">
      <c r="A45" s="84"/>
      <c r="B45" s="85" t="s">
        <v>317</v>
      </c>
      <c r="C45" s="86" t="s">
        <v>318</v>
      </c>
      <c r="D45" s="87"/>
      <c r="E45" s="81"/>
      <c r="F45" s="81"/>
      <c r="G45" s="81"/>
      <c r="H45" s="81"/>
      <c r="I45" s="81"/>
      <c r="J45" s="81"/>
      <c r="K45" s="81"/>
    </row>
    <row r="46" spans="1:22" x14ac:dyDescent="0.2">
      <c r="A46" s="84"/>
      <c r="B46" s="85" t="s">
        <v>319</v>
      </c>
      <c r="C46" s="86" t="s">
        <v>320</v>
      </c>
      <c r="D46" s="87"/>
      <c r="E46" s="81"/>
      <c r="F46" s="81"/>
      <c r="G46" s="81"/>
      <c r="H46" s="81"/>
      <c r="I46" s="81"/>
      <c r="J46" s="81"/>
      <c r="K46" s="77"/>
    </row>
    <row r="47" spans="1:22" x14ac:dyDescent="0.2">
      <c r="A47" s="84"/>
      <c r="B47" s="85" t="s">
        <v>321</v>
      </c>
      <c r="C47" s="86" t="s">
        <v>322</v>
      </c>
      <c r="D47" s="87"/>
      <c r="E47" s="81"/>
      <c r="F47" s="81"/>
      <c r="G47" s="81"/>
      <c r="H47" s="81"/>
      <c r="I47" s="81"/>
      <c r="J47" s="81"/>
    </row>
    <row r="48" spans="1:22" x14ac:dyDescent="0.2">
      <c r="A48" s="74" t="s">
        <v>323</v>
      </c>
      <c r="B48" s="75" t="s">
        <v>176</v>
      </c>
      <c r="C48" s="76"/>
      <c r="D48" s="76"/>
      <c r="E48" s="76"/>
      <c r="F48" s="76"/>
      <c r="G48" s="76"/>
      <c r="H48" s="76"/>
      <c r="I48" s="76"/>
      <c r="J48" s="76"/>
    </row>
    <row r="50" spans="1:8" x14ac:dyDescent="0.2">
      <c r="A50" s="23" t="s">
        <v>177</v>
      </c>
    </row>
    <row r="52" spans="1:8" x14ac:dyDescent="0.2">
      <c r="H52" t="s">
        <v>308</v>
      </c>
    </row>
  </sheetData>
  <mergeCells count="3">
    <mergeCell ref="G6:L6"/>
    <mergeCell ref="B39:K39"/>
    <mergeCell ref="O31:V38"/>
  </mergeCells>
  <phoneticPr fontId="7" type="noConversion"/>
  <hyperlinks>
    <hyperlink ref="A50" r:id="rId1"/>
  </hyperlinks>
  <pageMargins left="0.7" right="0.7" top="0.75" bottom="0.75" header="0.3" footer="0.3"/>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
  <sheetViews>
    <sheetView topLeftCell="A26" workbookViewId="0">
      <selection activeCell="H44" sqref="H44"/>
    </sheetView>
  </sheetViews>
  <sheetFormatPr baseColWidth="10" defaultColWidth="9.1640625" defaultRowHeight="15" x14ac:dyDescent="0.2"/>
  <cols>
    <col min="1" max="16384" width="9.1640625" style="131"/>
  </cols>
  <sheetData>
    <row r="1" spans="1:12" x14ac:dyDescent="0.2">
      <c r="A1" s="8" t="s">
        <v>497</v>
      </c>
    </row>
    <row r="2" spans="1:12" x14ac:dyDescent="0.2">
      <c r="A2" s="131" t="s">
        <v>221</v>
      </c>
    </row>
    <row r="4" spans="1:12" x14ac:dyDescent="0.2">
      <c r="A4" s="8" t="s">
        <v>222</v>
      </c>
    </row>
    <row r="5" spans="1:12" x14ac:dyDescent="0.2">
      <c r="A5" s="135" t="s">
        <v>223</v>
      </c>
    </row>
    <row r="6" spans="1:12" x14ac:dyDescent="0.2">
      <c r="G6" s="254" t="s">
        <v>224</v>
      </c>
      <c r="H6" s="254"/>
      <c r="I6" s="254"/>
      <c r="J6" s="254"/>
      <c r="K6" s="254"/>
      <c r="L6" s="254"/>
    </row>
    <row r="7" spans="1:12" x14ac:dyDescent="0.2">
      <c r="A7" s="73" t="s">
        <v>225</v>
      </c>
      <c r="B7" s="73" t="s">
        <v>88</v>
      </c>
      <c r="C7" s="73" t="s">
        <v>213</v>
      </c>
      <c r="D7" s="73" t="s">
        <v>84</v>
      </c>
      <c r="E7" s="73" t="s">
        <v>226</v>
      </c>
      <c r="F7" s="73" t="s">
        <v>227</v>
      </c>
      <c r="G7" s="73" t="s">
        <v>228</v>
      </c>
      <c r="H7" s="73" t="s">
        <v>229</v>
      </c>
      <c r="I7" s="73" t="s">
        <v>230</v>
      </c>
      <c r="J7" s="73" t="s">
        <v>231</v>
      </c>
      <c r="K7" s="73" t="s">
        <v>232</v>
      </c>
      <c r="L7" s="73" t="s">
        <v>368</v>
      </c>
    </row>
    <row r="8" spans="1:12" x14ac:dyDescent="0.2">
      <c r="A8" s="131" t="s">
        <v>250</v>
      </c>
      <c r="B8" s="131" t="s">
        <v>40</v>
      </c>
      <c r="C8" s="131">
        <v>2012</v>
      </c>
      <c r="D8" s="131">
        <v>78.8</v>
      </c>
      <c r="E8" s="131">
        <v>82.7</v>
      </c>
      <c r="F8" s="131">
        <v>77.7</v>
      </c>
      <c r="G8" s="131">
        <v>66.3</v>
      </c>
      <c r="H8" s="131">
        <v>70.900000000000006</v>
      </c>
      <c r="I8" s="131">
        <v>81.7</v>
      </c>
      <c r="J8" s="131">
        <v>89.7</v>
      </c>
      <c r="K8" s="131">
        <v>86.7</v>
      </c>
      <c r="L8" s="131" t="s">
        <v>369</v>
      </c>
    </row>
    <row r="9" spans="1:12" x14ac:dyDescent="0.2">
      <c r="A9" s="131" t="s">
        <v>270</v>
      </c>
      <c r="B9" s="131" t="s">
        <v>93</v>
      </c>
      <c r="C9" s="131" t="s">
        <v>370</v>
      </c>
      <c r="D9" s="131">
        <v>87</v>
      </c>
      <c r="E9" s="131">
        <v>85.3</v>
      </c>
      <c r="F9" s="131">
        <v>87.7</v>
      </c>
      <c r="G9" s="131">
        <v>93.1</v>
      </c>
      <c r="H9" s="131">
        <v>82</v>
      </c>
      <c r="I9" s="131">
        <v>86.4</v>
      </c>
      <c r="J9" s="131">
        <v>86.7</v>
      </c>
      <c r="K9" s="131">
        <v>88.9</v>
      </c>
      <c r="L9" s="131" t="s">
        <v>371</v>
      </c>
    </row>
    <row r="10" spans="1:12" x14ac:dyDescent="0.2">
      <c r="A10" s="131" t="s">
        <v>254</v>
      </c>
      <c r="B10" s="131" t="s">
        <v>100</v>
      </c>
      <c r="C10" s="131">
        <v>2006</v>
      </c>
      <c r="D10" s="131">
        <v>76.599999999999994</v>
      </c>
      <c r="E10" s="131">
        <v>89.7</v>
      </c>
      <c r="F10" s="131">
        <v>62.7</v>
      </c>
      <c r="G10" s="131">
        <v>53.2</v>
      </c>
      <c r="H10" s="131">
        <v>68.8</v>
      </c>
      <c r="I10" s="131">
        <v>81.5</v>
      </c>
      <c r="J10" s="131">
        <v>91.3</v>
      </c>
      <c r="K10" s="131">
        <v>95.3</v>
      </c>
      <c r="L10" s="131" t="s">
        <v>372</v>
      </c>
    </row>
    <row r="11" spans="1:12" x14ac:dyDescent="0.2">
      <c r="A11" s="131" t="s">
        <v>261</v>
      </c>
      <c r="B11" s="131" t="s">
        <v>41</v>
      </c>
      <c r="C11" s="131">
        <v>2008</v>
      </c>
      <c r="D11" s="131">
        <v>92</v>
      </c>
      <c r="E11" s="131">
        <v>94.7</v>
      </c>
      <c r="F11" s="131">
        <v>84.2</v>
      </c>
      <c r="G11" s="131">
        <v>76.099999999999994</v>
      </c>
      <c r="H11" s="131">
        <v>90.6</v>
      </c>
      <c r="I11" s="131">
        <v>98.5</v>
      </c>
      <c r="J11" s="131">
        <v>98</v>
      </c>
      <c r="K11" s="131">
        <v>98.6</v>
      </c>
      <c r="L11" s="131" t="s">
        <v>373</v>
      </c>
    </row>
    <row r="12" spans="1:12" x14ac:dyDescent="0.2">
      <c r="A12" s="131" t="s">
        <v>259</v>
      </c>
      <c r="B12" s="131" t="s">
        <v>123</v>
      </c>
      <c r="C12" s="131" t="s">
        <v>376</v>
      </c>
      <c r="D12" s="131">
        <v>97.4</v>
      </c>
      <c r="E12" s="131">
        <v>97.3</v>
      </c>
      <c r="F12" s="131">
        <v>97.4</v>
      </c>
      <c r="G12" s="131">
        <v>93.4</v>
      </c>
      <c r="H12" s="131">
        <v>100</v>
      </c>
      <c r="I12" s="131">
        <v>97.5</v>
      </c>
      <c r="J12" s="131">
        <v>98.4</v>
      </c>
      <c r="K12" s="131">
        <v>97.2</v>
      </c>
      <c r="L12" s="131" t="s">
        <v>377</v>
      </c>
    </row>
    <row r="13" spans="1:12" x14ac:dyDescent="0.2">
      <c r="A13" s="131" t="s">
        <v>256</v>
      </c>
      <c r="B13" s="131" t="s">
        <v>98</v>
      </c>
      <c r="C13" s="131">
        <v>2010</v>
      </c>
      <c r="D13" s="131">
        <v>99.1</v>
      </c>
      <c r="E13" s="131">
        <v>98.4</v>
      </c>
      <c r="F13" s="131">
        <v>100</v>
      </c>
      <c r="G13" s="131">
        <v>99.6</v>
      </c>
      <c r="H13" s="131">
        <v>98.8</v>
      </c>
      <c r="I13" s="131">
        <v>99.7</v>
      </c>
      <c r="J13" s="131">
        <v>97.7</v>
      </c>
      <c r="K13" s="131">
        <v>99.7</v>
      </c>
      <c r="L13" s="131" t="s">
        <v>379</v>
      </c>
    </row>
    <row r="14" spans="1:12" x14ac:dyDescent="0.2">
      <c r="A14" s="131" t="s">
        <v>257</v>
      </c>
      <c r="B14" s="131" t="s">
        <v>128</v>
      </c>
      <c r="C14" s="131">
        <v>2012</v>
      </c>
      <c r="D14" s="131">
        <v>98.8</v>
      </c>
      <c r="E14" s="131">
        <v>98.6</v>
      </c>
      <c r="F14" s="131">
        <v>98.9</v>
      </c>
      <c r="G14" s="131">
        <v>94.9</v>
      </c>
      <c r="H14" s="131">
        <v>100</v>
      </c>
      <c r="I14" s="131">
        <v>99.6</v>
      </c>
      <c r="J14" s="131">
        <v>99.5</v>
      </c>
      <c r="K14" s="131">
        <v>98.9</v>
      </c>
      <c r="L14" s="131" t="s">
        <v>380</v>
      </c>
    </row>
    <row r="15" spans="1:12" x14ac:dyDescent="0.2">
      <c r="A15" s="131" t="s">
        <v>252</v>
      </c>
      <c r="B15" s="131" t="s">
        <v>22</v>
      </c>
      <c r="C15" s="131">
        <v>2012</v>
      </c>
      <c r="D15" s="131">
        <v>97</v>
      </c>
      <c r="E15" s="131">
        <v>98.7</v>
      </c>
      <c r="F15" s="131">
        <v>96.2</v>
      </c>
      <c r="G15" s="131">
        <v>95.5</v>
      </c>
      <c r="H15" s="131">
        <v>96.5</v>
      </c>
      <c r="I15" s="131">
        <v>97.7</v>
      </c>
      <c r="J15" s="131">
        <v>96.2</v>
      </c>
      <c r="K15" s="131">
        <v>99.2</v>
      </c>
      <c r="L15" s="131" t="s">
        <v>369</v>
      </c>
    </row>
    <row r="16" spans="1:12" x14ac:dyDescent="0.2">
      <c r="A16" s="131" t="s">
        <v>262</v>
      </c>
      <c r="B16" s="131" t="s">
        <v>42</v>
      </c>
      <c r="C16" s="131">
        <v>2012</v>
      </c>
      <c r="D16" s="131">
        <v>98.6</v>
      </c>
      <c r="E16" s="131">
        <v>98.9</v>
      </c>
      <c r="F16" s="131">
        <v>98.1</v>
      </c>
      <c r="G16" s="131">
        <v>98.8</v>
      </c>
      <c r="H16" s="131">
        <v>97.1</v>
      </c>
      <c r="I16" s="131">
        <v>98.8</v>
      </c>
      <c r="J16" s="131">
        <v>99.4</v>
      </c>
      <c r="K16" s="131">
        <v>99.3</v>
      </c>
      <c r="L16" s="131" t="s">
        <v>381</v>
      </c>
    </row>
    <row r="17" spans="1:15" x14ac:dyDescent="0.2">
      <c r="A17" s="131" t="s">
        <v>253</v>
      </c>
      <c r="B17" s="131" t="s">
        <v>118</v>
      </c>
      <c r="C17" s="131" t="s">
        <v>235</v>
      </c>
      <c r="D17" s="131">
        <v>99.2</v>
      </c>
      <c r="E17" s="131">
        <v>99</v>
      </c>
      <c r="F17" s="131">
        <v>99.4</v>
      </c>
      <c r="G17" s="131">
        <v>98.8</v>
      </c>
      <c r="H17" s="131">
        <v>99.8</v>
      </c>
      <c r="I17" s="131">
        <v>98.8</v>
      </c>
      <c r="J17" s="131">
        <v>99.3</v>
      </c>
      <c r="K17" s="131">
        <v>99.2</v>
      </c>
      <c r="L17" s="131" t="s">
        <v>236</v>
      </c>
    </row>
    <row r="18" spans="1:15" x14ac:dyDescent="0.2">
      <c r="A18" s="131" t="s">
        <v>255</v>
      </c>
      <c r="B18" s="131" t="s">
        <v>97</v>
      </c>
      <c r="C18" s="131" t="s">
        <v>237</v>
      </c>
      <c r="D18" s="131">
        <v>97.3</v>
      </c>
      <c r="E18" s="131">
        <v>99.1</v>
      </c>
      <c r="F18" s="131">
        <v>96.2</v>
      </c>
      <c r="G18" s="131">
        <v>93.3</v>
      </c>
      <c r="H18" s="131">
        <v>95.7</v>
      </c>
      <c r="I18" s="131">
        <v>99</v>
      </c>
      <c r="J18" s="131">
        <v>99.9</v>
      </c>
      <c r="K18" s="131">
        <v>99.3</v>
      </c>
      <c r="L18" s="131" t="s">
        <v>238</v>
      </c>
    </row>
    <row r="19" spans="1:15" x14ac:dyDescent="0.2">
      <c r="A19" s="131" t="s">
        <v>265</v>
      </c>
      <c r="B19" s="131" t="s">
        <v>94</v>
      </c>
      <c r="C19" s="131">
        <v>2010</v>
      </c>
      <c r="D19" s="131">
        <v>97.6</v>
      </c>
      <c r="E19" s="131">
        <v>99.1</v>
      </c>
      <c r="F19" s="131">
        <v>96.1</v>
      </c>
      <c r="G19" s="131">
        <v>94</v>
      </c>
      <c r="H19" s="131">
        <v>96.9</v>
      </c>
      <c r="I19" s="131">
        <v>97.6</v>
      </c>
      <c r="J19" s="131">
        <v>98</v>
      </c>
      <c r="K19" s="131">
        <v>100.1</v>
      </c>
      <c r="L19" s="131" t="s">
        <v>239</v>
      </c>
    </row>
    <row r="20" spans="1:15" x14ac:dyDescent="0.2">
      <c r="A20" s="131" t="s">
        <v>251</v>
      </c>
      <c r="B20" s="131" t="s">
        <v>155</v>
      </c>
      <c r="C20" s="131">
        <v>2006</v>
      </c>
      <c r="D20" s="131">
        <v>99</v>
      </c>
      <c r="E20" s="131">
        <v>99.1</v>
      </c>
      <c r="F20" s="131">
        <v>99</v>
      </c>
      <c r="G20" s="131">
        <v>98</v>
      </c>
      <c r="H20" s="131">
        <v>98.2</v>
      </c>
      <c r="I20" s="131">
        <v>99.7</v>
      </c>
      <c r="J20" s="131">
        <v>100</v>
      </c>
      <c r="K20" s="131">
        <v>99.2</v>
      </c>
      <c r="L20" s="131" t="s">
        <v>240</v>
      </c>
    </row>
    <row r="21" spans="1:15" x14ac:dyDescent="0.2">
      <c r="A21" s="131" t="s">
        <v>267</v>
      </c>
      <c r="B21" s="131" t="s">
        <v>85</v>
      </c>
      <c r="C21" s="131">
        <v>2011</v>
      </c>
      <c r="D21" s="131">
        <v>98.6</v>
      </c>
      <c r="E21" s="131">
        <v>99.6</v>
      </c>
      <c r="F21" s="131">
        <v>97.5</v>
      </c>
      <c r="G21" s="131">
        <v>97</v>
      </c>
      <c r="H21" s="131">
        <v>98</v>
      </c>
      <c r="I21" s="131">
        <v>98.3</v>
      </c>
      <c r="J21" s="131">
        <v>100</v>
      </c>
      <c r="K21" s="131">
        <v>99.6</v>
      </c>
      <c r="L21" s="131" t="s">
        <v>241</v>
      </c>
    </row>
    <row r="22" spans="1:15" x14ac:dyDescent="0.2">
      <c r="A22" s="131" t="s">
        <v>260</v>
      </c>
      <c r="B22" s="131" t="s">
        <v>34</v>
      </c>
      <c r="C22" s="131">
        <v>2010</v>
      </c>
      <c r="D22" s="131">
        <v>99</v>
      </c>
      <c r="E22" s="131">
        <v>99.7</v>
      </c>
      <c r="F22" s="131">
        <v>98.2</v>
      </c>
      <c r="G22" s="131">
        <v>95.4</v>
      </c>
      <c r="H22" s="131">
        <v>100</v>
      </c>
      <c r="I22" s="131">
        <v>100</v>
      </c>
      <c r="J22" s="131">
        <v>100</v>
      </c>
      <c r="K22" s="131">
        <v>99.8</v>
      </c>
      <c r="L22" s="131" t="s">
        <v>242</v>
      </c>
    </row>
    <row r="23" spans="1:15" x14ac:dyDescent="0.2">
      <c r="A23" s="131" t="s">
        <v>263</v>
      </c>
      <c r="B23" s="131" t="s">
        <v>92</v>
      </c>
      <c r="C23" s="131">
        <v>2012</v>
      </c>
      <c r="D23" s="131">
        <v>99.7</v>
      </c>
      <c r="E23" s="131">
        <v>100</v>
      </c>
      <c r="F23" s="131">
        <v>98.8</v>
      </c>
      <c r="G23" s="131">
        <v>97.8</v>
      </c>
      <c r="H23" s="131">
        <v>100</v>
      </c>
      <c r="I23" s="131">
        <v>100</v>
      </c>
      <c r="J23" s="131">
        <v>100</v>
      </c>
      <c r="K23" s="131">
        <v>100</v>
      </c>
      <c r="L23" s="131" t="s">
        <v>381</v>
      </c>
    </row>
    <row r="26" spans="1:15" x14ac:dyDescent="0.2">
      <c r="A26" s="74" t="s">
        <v>243</v>
      </c>
      <c r="B26" s="75" t="s">
        <v>304</v>
      </c>
      <c r="C26" s="136"/>
      <c r="D26" s="136"/>
      <c r="E26" s="136"/>
      <c r="F26" s="136"/>
      <c r="G26" s="136"/>
      <c r="H26" s="136"/>
      <c r="I26" s="136"/>
      <c r="J26" s="136"/>
      <c r="K26" s="77"/>
    </row>
    <row r="27" spans="1:15" x14ac:dyDescent="0.2">
      <c r="A27" s="78"/>
      <c r="B27" s="75" t="s">
        <v>309</v>
      </c>
      <c r="C27" s="136"/>
      <c r="D27" s="136"/>
      <c r="E27" s="136"/>
      <c r="F27" s="136"/>
      <c r="G27" s="136"/>
      <c r="H27" s="136"/>
      <c r="I27" s="136"/>
      <c r="J27" s="136"/>
      <c r="K27" s="77"/>
    </row>
    <row r="30" spans="1:15" x14ac:dyDescent="0.2">
      <c r="A30" s="79" t="s">
        <v>310</v>
      </c>
      <c r="B30" s="253" t="s">
        <v>467</v>
      </c>
      <c r="C30" s="253"/>
      <c r="D30" s="253"/>
      <c r="E30" s="253"/>
      <c r="F30" s="253"/>
      <c r="G30" s="253"/>
      <c r="H30" s="253"/>
      <c r="I30" s="253"/>
      <c r="J30" s="253"/>
      <c r="K30" s="253"/>
      <c r="L30" s="137"/>
      <c r="M30" s="137"/>
      <c r="N30" s="137"/>
      <c r="O30" s="137"/>
    </row>
    <row r="31" spans="1:15" x14ac:dyDescent="0.2">
      <c r="B31" s="137" t="s">
        <v>311</v>
      </c>
      <c r="C31" s="137"/>
      <c r="D31" s="137"/>
      <c r="E31" s="137"/>
      <c r="F31" s="137"/>
      <c r="G31" s="137"/>
      <c r="H31" s="137"/>
      <c r="I31" s="137"/>
      <c r="J31" s="137"/>
      <c r="K31" s="138"/>
      <c r="L31" s="137"/>
      <c r="M31" s="137"/>
      <c r="N31" s="137"/>
      <c r="O31" s="137"/>
    </row>
    <row r="32" spans="1:15" x14ac:dyDescent="0.2">
      <c r="K32" s="138"/>
    </row>
    <row r="33" spans="1:11" x14ac:dyDescent="0.2">
      <c r="A33" s="79"/>
      <c r="B33" s="83" t="s">
        <v>312</v>
      </c>
      <c r="C33" s="138"/>
      <c r="D33" s="138"/>
      <c r="E33" s="138"/>
      <c r="F33" s="138"/>
      <c r="G33" s="138"/>
      <c r="H33" s="138"/>
      <c r="I33" s="138"/>
      <c r="J33" s="138"/>
      <c r="K33" s="138"/>
    </row>
    <row r="34" spans="1:11" x14ac:dyDescent="0.2">
      <c r="A34" s="139"/>
      <c r="B34" s="140" t="s">
        <v>313</v>
      </c>
      <c r="C34" s="75" t="s">
        <v>314</v>
      </c>
      <c r="D34" s="77"/>
      <c r="E34" s="138"/>
      <c r="F34" s="138"/>
      <c r="G34" s="138"/>
      <c r="H34" s="138"/>
      <c r="I34" s="138"/>
      <c r="J34" s="138"/>
      <c r="K34" s="138"/>
    </row>
    <row r="35" spans="1:11" x14ac:dyDescent="0.2">
      <c r="A35" s="139"/>
      <c r="B35" s="140" t="s">
        <v>315</v>
      </c>
      <c r="C35" s="75" t="s">
        <v>316</v>
      </c>
      <c r="D35" s="77"/>
      <c r="E35" s="138"/>
      <c r="F35" s="138"/>
      <c r="G35" s="138"/>
      <c r="H35" s="138"/>
      <c r="I35" s="138"/>
      <c r="J35" s="138"/>
      <c r="K35" s="138"/>
    </row>
    <row r="36" spans="1:11" x14ac:dyDescent="0.2">
      <c r="A36" s="139"/>
      <c r="B36" s="140" t="s">
        <v>317</v>
      </c>
      <c r="C36" s="75" t="s">
        <v>318</v>
      </c>
      <c r="D36" s="77"/>
      <c r="E36" s="138"/>
      <c r="F36" s="138"/>
      <c r="G36" s="138"/>
      <c r="H36" s="138"/>
      <c r="I36" s="138"/>
      <c r="J36" s="138"/>
      <c r="K36" s="138"/>
    </row>
    <row r="37" spans="1:11" x14ac:dyDescent="0.2">
      <c r="A37" s="139"/>
      <c r="B37" s="140" t="s">
        <v>319</v>
      </c>
      <c r="C37" s="75" t="s">
        <v>320</v>
      </c>
      <c r="D37" s="77"/>
      <c r="E37" s="138"/>
      <c r="F37" s="138"/>
      <c r="G37" s="138"/>
      <c r="H37" s="138"/>
      <c r="I37" s="138"/>
      <c r="J37" s="138"/>
      <c r="K37" s="77"/>
    </row>
    <row r="38" spans="1:11" x14ac:dyDescent="0.2">
      <c r="A38" s="139"/>
      <c r="B38" s="140" t="s">
        <v>321</v>
      </c>
      <c r="C38" s="75" t="s">
        <v>322</v>
      </c>
      <c r="D38" s="77"/>
      <c r="E38" s="138"/>
      <c r="F38" s="138"/>
      <c r="G38" s="138"/>
      <c r="H38" s="138"/>
      <c r="I38" s="138"/>
      <c r="J38" s="138"/>
    </row>
    <row r="39" spans="1:11" x14ac:dyDescent="0.2">
      <c r="A39" s="74" t="s">
        <v>323</v>
      </c>
      <c r="B39" s="75" t="s">
        <v>176</v>
      </c>
      <c r="C39" s="136"/>
      <c r="D39" s="136"/>
      <c r="E39" s="136"/>
      <c r="F39" s="136"/>
      <c r="G39" s="136"/>
      <c r="H39" s="136"/>
      <c r="I39" s="136"/>
      <c r="J39" s="136"/>
    </row>
    <row r="41" spans="1:11" x14ac:dyDescent="0.2">
      <c r="A41" s="131" t="s">
        <v>468</v>
      </c>
    </row>
  </sheetData>
  <mergeCells count="2">
    <mergeCell ref="G6:L6"/>
    <mergeCell ref="B30:K30"/>
  </mergeCells>
  <phoneticPr fontId="7" type="noConversion"/>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6"/>
  <sheetViews>
    <sheetView workbookViewId="0">
      <selection activeCell="U17" sqref="U17"/>
    </sheetView>
  </sheetViews>
  <sheetFormatPr baseColWidth="10" defaultColWidth="8.83203125" defaultRowHeight="15" x14ac:dyDescent="0.2"/>
  <cols>
    <col min="1" max="16384" width="8.83203125" style="131"/>
  </cols>
  <sheetData>
    <row r="1" spans="1:2" x14ac:dyDescent="0.2">
      <c r="A1" s="8" t="s">
        <v>88</v>
      </c>
      <c r="B1" s="8" t="s">
        <v>469</v>
      </c>
    </row>
    <row r="2" spans="1:2" x14ac:dyDescent="0.2">
      <c r="A2" s="141" t="s">
        <v>100</v>
      </c>
      <c r="B2" s="142">
        <v>0.14000000000000001</v>
      </c>
    </row>
    <row r="3" spans="1:2" x14ac:dyDescent="0.2">
      <c r="A3" s="141" t="s">
        <v>95</v>
      </c>
      <c r="B3" s="142">
        <v>0.17</v>
      </c>
    </row>
    <row r="4" spans="1:2" x14ac:dyDescent="0.2">
      <c r="A4" s="141" t="s">
        <v>115</v>
      </c>
      <c r="B4" s="142">
        <v>0.22</v>
      </c>
    </row>
    <row r="5" spans="1:2" x14ac:dyDescent="0.2">
      <c r="A5" s="141" t="s">
        <v>108</v>
      </c>
      <c r="B5" s="142">
        <v>0.23</v>
      </c>
    </row>
    <row r="6" spans="1:2" x14ac:dyDescent="0.2">
      <c r="A6" s="141" t="s">
        <v>94</v>
      </c>
      <c r="B6" s="142">
        <v>0.32</v>
      </c>
    </row>
    <row r="7" spans="1:2" x14ac:dyDescent="0.2">
      <c r="A7" s="141" t="s">
        <v>125</v>
      </c>
      <c r="B7" s="142">
        <v>0.34</v>
      </c>
    </row>
    <row r="8" spans="1:2" x14ac:dyDescent="0.2">
      <c r="A8" s="141" t="s">
        <v>37</v>
      </c>
      <c r="B8" s="142">
        <v>0.37</v>
      </c>
    </row>
    <row r="9" spans="1:2" x14ac:dyDescent="0.2">
      <c r="A9" s="141" t="s">
        <v>117</v>
      </c>
      <c r="B9" s="142">
        <v>0.39</v>
      </c>
    </row>
    <row r="10" spans="1:2" x14ac:dyDescent="0.2">
      <c r="A10" s="141" t="s">
        <v>99</v>
      </c>
      <c r="B10" s="142">
        <v>0.39</v>
      </c>
    </row>
    <row r="11" spans="1:2" x14ac:dyDescent="0.2">
      <c r="A11" s="141" t="s">
        <v>111</v>
      </c>
      <c r="B11" s="142">
        <v>0.43</v>
      </c>
    </row>
    <row r="12" spans="1:2" x14ac:dyDescent="0.2">
      <c r="A12" s="141" t="s">
        <v>36</v>
      </c>
      <c r="B12" s="142">
        <v>0.44</v>
      </c>
    </row>
    <row r="13" spans="1:2" x14ac:dyDescent="0.2">
      <c r="A13" s="141" t="s">
        <v>38</v>
      </c>
      <c r="B13" s="142">
        <v>0.44</v>
      </c>
    </row>
    <row r="14" spans="1:2" x14ac:dyDescent="0.2">
      <c r="A14" s="141" t="s">
        <v>41</v>
      </c>
      <c r="B14" s="142">
        <v>0.45</v>
      </c>
    </row>
    <row r="15" spans="1:2" x14ac:dyDescent="0.2">
      <c r="A15" s="141" t="s">
        <v>82</v>
      </c>
      <c r="B15" s="142">
        <v>0.45</v>
      </c>
    </row>
    <row r="16" spans="1:2" x14ac:dyDescent="0.2">
      <c r="A16" s="141" t="s">
        <v>104</v>
      </c>
      <c r="B16" s="142">
        <v>0.47</v>
      </c>
    </row>
    <row r="17" spans="1:2" x14ac:dyDescent="0.2">
      <c r="A17" s="141" t="s">
        <v>32</v>
      </c>
      <c r="B17" s="142">
        <v>0.47</v>
      </c>
    </row>
    <row r="18" spans="1:2" x14ac:dyDescent="0.2">
      <c r="A18" s="141" t="s">
        <v>39</v>
      </c>
      <c r="B18" s="142">
        <v>0.48</v>
      </c>
    </row>
    <row r="19" spans="1:2" x14ac:dyDescent="0.2">
      <c r="A19" s="141" t="s">
        <v>126</v>
      </c>
      <c r="B19" s="142">
        <v>0.49</v>
      </c>
    </row>
    <row r="20" spans="1:2" x14ac:dyDescent="0.2">
      <c r="A20" s="141" t="s">
        <v>124</v>
      </c>
      <c r="B20" s="142">
        <v>0.61</v>
      </c>
    </row>
    <row r="21" spans="1:2" x14ac:dyDescent="0.2">
      <c r="A21" s="141" t="s">
        <v>81</v>
      </c>
      <c r="B21" s="142">
        <v>0.62</v>
      </c>
    </row>
    <row r="22" spans="1:2" x14ac:dyDescent="0.2">
      <c r="A22" s="141" t="s">
        <v>102</v>
      </c>
      <c r="B22" s="142">
        <v>0.68</v>
      </c>
    </row>
    <row r="23" spans="1:2" x14ac:dyDescent="0.2">
      <c r="A23" s="141" t="s">
        <v>127</v>
      </c>
      <c r="B23" s="142">
        <v>0.68</v>
      </c>
    </row>
    <row r="24" spans="1:2" x14ac:dyDescent="0.2">
      <c r="A24" s="141" t="s">
        <v>107</v>
      </c>
      <c r="B24" s="142">
        <v>0.69</v>
      </c>
    </row>
    <row r="25" spans="1:2" x14ac:dyDescent="0.2">
      <c r="A25" s="141" t="s">
        <v>98</v>
      </c>
      <c r="B25" s="142">
        <v>0.77</v>
      </c>
    </row>
    <row r="26" spans="1:2" x14ac:dyDescent="0.2">
      <c r="A26" s="141" t="s">
        <v>34</v>
      </c>
      <c r="B26" s="142">
        <v>0.88</v>
      </c>
    </row>
    <row r="27" spans="1:2" x14ac:dyDescent="0.2">
      <c r="A27" s="141" t="s">
        <v>35</v>
      </c>
      <c r="B27" s="142">
        <v>0.9</v>
      </c>
    </row>
    <row r="28" spans="1:2" x14ac:dyDescent="0.2">
      <c r="A28" s="141" t="s">
        <v>106</v>
      </c>
      <c r="B28" s="142">
        <v>0.94</v>
      </c>
    </row>
    <row r="29" spans="1:2" x14ac:dyDescent="0.2">
      <c r="A29" s="141" t="s">
        <v>113</v>
      </c>
      <c r="B29" s="142">
        <v>1.01</v>
      </c>
    </row>
    <row r="30" spans="1:2" x14ac:dyDescent="0.2">
      <c r="A30" s="141" t="s">
        <v>116</v>
      </c>
      <c r="B30" s="142">
        <v>1.04</v>
      </c>
    </row>
    <row r="31" spans="1:2" x14ac:dyDescent="0.2">
      <c r="A31" s="141" t="s">
        <v>123</v>
      </c>
      <c r="B31" s="142">
        <v>1.07</v>
      </c>
    </row>
    <row r="32" spans="1:2" x14ac:dyDescent="0.2">
      <c r="A32" s="141" t="s">
        <v>122</v>
      </c>
      <c r="B32" s="142">
        <v>1.07</v>
      </c>
    </row>
    <row r="33" spans="1:2" x14ac:dyDescent="0.2">
      <c r="A33" s="141" t="s">
        <v>129</v>
      </c>
      <c r="B33" s="142">
        <v>1.1499999999999999</v>
      </c>
    </row>
    <row r="34" spans="1:2" x14ac:dyDescent="0.2">
      <c r="A34" s="141" t="s">
        <v>85</v>
      </c>
      <c r="B34" s="142">
        <v>1.18</v>
      </c>
    </row>
    <row r="35" spans="1:2" x14ac:dyDescent="0.2">
      <c r="A35" s="141" t="s">
        <v>97</v>
      </c>
      <c r="B35" s="142">
        <v>1.27</v>
      </c>
    </row>
    <row r="36" spans="1:2" x14ac:dyDescent="0.2">
      <c r="A36" s="141" t="s">
        <v>110</v>
      </c>
      <c r="B36" s="142">
        <v>1.4</v>
      </c>
    </row>
    <row r="37" spans="1:2" x14ac:dyDescent="0.2">
      <c r="A37" s="141" t="s">
        <v>155</v>
      </c>
      <c r="B37" s="142">
        <v>1.61</v>
      </c>
    </row>
    <row r="38" spans="1:2" x14ac:dyDescent="0.2">
      <c r="A38" s="141" t="s">
        <v>22</v>
      </c>
      <c r="B38" s="142">
        <v>2.06</v>
      </c>
    </row>
    <row r="39" spans="1:2" x14ac:dyDescent="0.2">
      <c r="A39" s="141" t="s">
        <v>120</v>
      </c>
      <c r="B39" s="142">
        <v>2.2000000000000002</v>
      </c>
    </row>
    <row r="40" spans="1:2" x14ac:dyDescent="0.2">
      <c r="A40" s="141" t="s">
        <v>92</v>
      </c>
      <c r="B40" s="142">
        <v>2.29</v>
      </c>
    </row>
    <row r="41" spans="1:2" x14ac:dyDescent="0.2">
      <c r="A41" s="141" t="s">
        <v>42</v>
      </c>
      <c r="B41" s="142">
        <v>2.41</v>
      </c>
    </row>
    <row r="42" spans="1:2" x14ac:dyDescent="0.2">
      <c r="A42" s="141" t="s">
        <v>109</v>
      </c>
      <c r="B42" s="142">
        <v>2.58</v>
      </c>
    </row>
    <row r="43" spans="1:2" x14ac:dyDescent="0.2">
      <c r="A43" s="141" t="s">
        <v>119</v>
      </c>
      <c r="B43" s="142">
        <v>2.79</v>
      </c>
    </row>
    <row r="44" spans="1:2" x14ac:dyDescent="0.2">
      <c r="A44" s="141" t="s">
        <v>118</v>
      </c>
      <c r="B44" s="142">
        <v>3.15</v>
      </c>
    </row>
    <row r="45" spans="1:2" x14ac:dyDescent="0.2">
      <c r="A45" s="141" t="s">
        <v>128</v>
      </c>
      <c r="B45" s="142">
        <v>3.52</v>
      </c>
    </row>
    <row r="46" spans="1:2" x14ac:dyDescent="0.2">
      <c r="A46" s="141" t="s">
        <v>130</v>
      </c>
      <c r="B46" s="142">
        <v>4.7300000000000004</v>
      </c>
    </row>
  </sheetData>
  <phoneticPr fontId="7" type="noConversion"/>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4"/>
  <sheetViews>
    <sheetView topLeftCell="A65" workbookViewId="0">
      <selection activeCell="L64" sqref="L64"/>
    </sheetView>
  </sheetViews>
  <sheetFormatPr baseColWidth="10" defaultColWidth="10.1640625" defaultRowHeight="15" x14ac:dyDescent="0.2"/>
  <cols>
    <col min="1" max="16384" width="10.1640625" style="131"/>
  </cols>
  <sheetData>
    <row r="1" spans="1:14" x14ac:dyDescent="0.2">
      <c r="A1" s="18" t="s">
        <v>472</v>
      </c>
    </row>
    <row r="3" spans="1:14" x14ac:dyDescent="0.2">
      <c r="A3" s="18" t="s">
        <v>306</v>
      </c>
      <c r="B3" s="145">
        <v>42083.493599537032</v>
      </c>
    </row>
    <row r="4" spans="1:14" x14ac:dyDescent="0.2">
      <c r="A4" s="18" t="s">
        <v>161</v>
      </c>
      <c r="B4" s="145">
        <v>42181.941452060186</v>
      </c>
    </row>
    <row r="5" spans="1:14" x14ac:dyDescent="0.2">
      <c r="A5" s="18" t="s">
        <v>162</v>
      </c>
      <c r="B5" s="18" t="s">
        <v>163</v>
      </c>
      <c r="H5" s="191" t="s">
        <v>510</v>
      </c>
      <c r="I5" s="192"/>
      <c r="J5" s="192"/>
      <c r="K5" s="192"/>
      <c r="L5" s="192"/>
      <c r="M5" s="192"/>
      <c r="N5" s="192"/>
    </row>
    <row r="6" spans="1:14" x14ac:dyDescent="0.2">
      <c r="A6" s="18" t="s">
        <v>164</v>
      </c>
      <c r="B6" s="18" t="s">
        <v>165</v>
      </c>
      <c r="H6" s="192"/>
      <c r="I6" s="192"/>
      <c r="J6" s="192"/>
      <c r="K6" s="192"/>
      <c r="L6" s="192"/>
      <c r="M6" s="192"/>
      <c r="N6" s="192"/>
    </row>
    <row r="7" spans="1:14" x14ac:dyDescent="0.2">
      <c r="A7" s="18" t="s">
        <v>473</v>
      </c>
      <c r="B7" s="18" t="s">
        <v>474</v>
      </c>
      <c r="H7" s="192"/>
      <c r="I7" s="192"/>
      <c r="J7" s="192"/>
      <c r="K7" s="192"/>
      <c r="L7" s="192"/>
      <c r="M7" s="192"/>
      <c r="N7" s="192"/>
    </row>
    <row r="8" spans="1:14" x14ac:dyDescent="0.2">
      <c r="A8" s="18" t="s">
        <v>168</v>
      </c>
      <c r="B8" s="18" t="s">
        <v>470</v>
      </c>
    </row>
    <row r="9" spans="1:14" x14ac:dyDescent="0.2">
      <c r="A9" s="18" t="s">
        <v>169</v>
      </c>
      <c r="B9" s="18" t="s">
        <v>89</v>
      </c>
    </row>
    <row r="10" spans="1:14" x14ac:dyDescent="0.2">
      <c r="A10" s="18" t="s">
        <v>170</v>
      </c>
      <c r="B10" s="18" t="s">
        <v>471</v>
      </c>
    </row>
    <row r="11" spans="1:14" x14ac:dyDescent="0.2">
      <c r="A11" s="18" t="s">
        <v>172</v>
      </c>
      <c r="B11" s="18" t="s">
        <v>173</v>
      </c>
    </row>
    <row r="13" spans="1:14" x14ac:dyDescent="0.2">
      <c r="A13" s="110" t="s">
        <v>174</v>
      </c>
      <c r="B13" s="110" t="s">
        <v>175</v>
      </c>
      <c r="C13" s="110" t="s">
        <v>51</v>
      </c>
    </row>
    <row r="14" spans="1:14" x14ac:dyDescent="0.2">
      <c r="A14" s="110" t="s">
        <v>6</v>
      </c>
      <c r="B14" s="146">
        <v>27.8</v>
      </c>
      <c r="C14" s="112" t="s">
        <v>75</v>
      </c>
    </row>
    <row r="15" spans="1:14" x14ac:dyDescent="0.2">
      <c r="A15" s="110" t="s">
        <v>102</v>
      </c>
      <c r="B15" s="146">
        <v>40.799999999999997</v>
      </c>
      <c r="C15" s="112" t="s">
        <v>75</v>
      </c>
    </row>
    <row r="16" spans="1:14" x14ac:dyDescent="0.2">
      <c r="A16" s="110" t="s">
        <v>104</v>
      </c>
      <c r="B16" s="146">
        <v>9.9</v>
      </c>
      <c r="C16" s="112" t="s">
        <v>75</v>
      </c>
    </row>
    <row r="17" spans="1:3" x14ac:dyDescent="0.2">
      <c r="A17" s="110" t="s">
        <v>107</v>
      </c>
      <c r="B17" s="146">
        <v>13.6</v>
      </c>
      <c r="C17" s="112" t="s">
        <v>75</v>
      </c>
    </row>
    <row r="18" spans="1:3" x14ac:dyDescent="0.2">
      <c r="A18" s="110" t="s">
        <v>108</v>
      </c>
      <c r="B18" s="146">
        <v>45.9</v>
      </c>
      <c r="C18" s="112" t="s">
        <v>75</v>
      </c>
    </row>
    <row r="19" spans="1:3" x14ac:dyDescent="0.2">
      <c r="A19" s="110" t="s">
        <v>82</v>
      </c>
      <c r="B19" s="146">
        <v>32.700000000000003</v>
      </c>
      <c r="C19" s="112" t="s">
        <v>75</v>
      </c>
    </row>
    <row r="20" spans="1:3" x14ac:dyDescent="0.2">
      <c r="A20" s="110" t="s">
        <v>109</v>
      </c>
      <c r="B20" s="146">
        <v>7.8</v>
      </c>
      <c r="C20" s="112" t="s">
        <v>75</v>
      </c>
    </row>
    <row r="21" spans="1:3" x14ac:dyDescent="0.2">
      <c r="A21" s="110" t="s">
        <v>115</v>
      </c>
      <c r="B21" s="146">
        <v>53.6</v>
      </c>
      <c r="C21" s="112" t="s">
        <v>75</v>
      </c>
    </row>
    <row r="22" spans="1:3" x14ac:dyDescent="0.2">
      <c r="A22" s="110" t="s">
        <v>32</v>
      </c>
      <c r="B22" s="146">
        <v>23.3</v>
      </c>
      <c r="C22" s="112" t="s">
        <v>75</v>
      </c>
    </row>
    <row r="23" spans="1:3" x14ac:dyDescent="0.2">
      <c r="A23" s="110" t="s">
        <v>37</v>
      </c>
      <c r="B23" s="146">
        <v>31.8</v>
      </c>
      <c r="C23" s="112" t="s">
        <v>75</v>
      </c>
    </row>
    <row r="24" spans="1:3" x14ac:dyDescent="0.2">
      <c r="A24" s="110" t="s">
        <v>111</v>
      </c>
      <c r="B24" s="146">
        <v>32.4</v>
      </c>
      <c r="C24" s="112" t="s">
        <v>75</v>
      </c>
    </row>
    <row r="25" spans="1:3" x14ac:dyDescent="0.2">
      <c r="A25" s="110" t="s">
        <v>81</v>
      </c>
      <c r="B25" s="146">
        <v>9.5</v>
      </c>
      <c r="C25" s="112" t="s">
        <v>53</v>
      </c>
    </row>
    <row r="26" spans="1:3" x14ac:dyDescent="0.2">
      <c r="A26" s="110" t="s">
        <v>117</v>
      </c>
      <c r="B26" s="146">
        <v>20.9</v>
      </c>
      <c r="C26" s="112" t="s">
        <v>75</v>
      </c>
    </row>
    <row r="27" spans="1:3" x14ac:dyDescent="0.2">
      <c r="A27" s="110" t="s">
        <v>106</v>
      </c>
      <c r="B27" s="146">
        <v>23.4</v>
      </c>
      <c r="C27" s="112" t="s">
        <v>75</v>
      </c>
    </row>
    <row r="28" spans="1:3" x14ac:dyDescent="0.2">
      <c r="A28" s="110" t="s">
        <v>119</v>
      </c>
      <c r="B28" s="146">
        <v>4.3</v>
      </c>
      <c r="C28" s="112" t="s">
        <v>75</v>
      </c>
    </row>
    <row r="29" spans="1:3" x14ac:dyDescent="0.2">
      <c r="A29" s="110" t="s">
        <v>120</v>
      </c>
      <c r="B29" s="146">
        <v>1.6</v>
      </c>
      <c r="C29" s="112" t="s">
        <v>75</v>
      </c>
    </row>
    <row r="30" spans="1:3" x14ac:dyDescent="0.2">
      <c r="A30" s="110" t="s">
        <v>121</v>
      </c>
      <c r="B30" s="146">
        <v>39</v>
      </c>
      <c r="C30" s="112" t="s">
        <v>75</v>
      </c>
    </row>
    <row r="31" spans="1:3" x14ac:dyDescent="0.2">
      <c r="A31" s="110" t="s">
        <v>113</v>
      </c>
      <c r="B31" s="146">
        <v>5</v>
      </c>
      <c r="C31" s="112" t="s">
        <v>75</v>
      </c>
    </row>
    <row r="32" spans="1:3" x14ac:dyDescent="0.2">
      <c r="A32" s="110" t="s">
        <v>122</v>
      </c>
      <c r="B32" s="146">
        <v>31.6</v>
      </c>
      <c r="C32" s="112" t="s">
        <v>75</v>
      </c>
    </row>
    <row r="33" spans="1:3" x14ac:dyDescent="0.2">
      <c r="A33" s="110" t="s">
        <v>124</v>
      </c>
      <c r="B33" s="146">
        <v>52.3</v>
      </c>
      <c r="C33" s="112" t="s">
        <v>75</v>
      </c>
    </row>
    <row r="34" spans="1:3" x14ac:dyDescent="0.2">
      <c r="A34" s="110" t="s">
        <v>99</v>
      </c>
      <c r="B34" s="146">
        <v>29.2</v>
      </c>
      <c r="C34" s="112" t="s">
        <v>75</v>
      </c>
    </row>
    <row r="35" spans="1:3" x14ac:dyDescent="0.2">
      <c r="A35" s="110" t="s">
        <v>126</v>
      </c>
      <c r="B35" s="146">
        <v>8.1999999999999993</v>
      </c>
      <c r="C35" s="112" t="s">
        <v>75</v>
      </c>
    </row>
    <row r="36" spans="1:3" x14ac:dyDescent="0.2">
      <c r="A36" s="110" t="s">
        <v>127</v>
      </c>
      <c r="B36" s="146">
        <v>9.9</v>
      </c>
      <c r="C36" s="112" t="s">
        <v>75</v>
      </c>
    </row>
    <row r="37" spans="1:3" x14ac:dyDescent="0.2">
      <c r="A37" s="110" t="s">
        <v>129</v>
      </c>
      <c r="B37" s="146">
        <v>13.9</v>
      </c>
      <c r="C37" s="112" t="s">
        <v>75</v>
      </c>
    </row>
    <row r="38" spans="1:3" x14ac:dyDescent="0.2">
      <c r="A38" s="110" t="s">
        <v>36</v>
      </c>
      <c r="B38" s="146">
        <v>14.5</v>
      </c>
      <c r="C38" s="112" t="s">
        <v>75</v>
      </c>
    </row>
    <row r="39" spans="1:3" x14ac:dyDescent="0.2">
      <c r="A39" s="110" t="s">
        <v>35</v>
      </c>
      <c r="B39" s="146">
        <v>6.6</v>
      </c>
      <c r="C39" s="112" t="s">
        <v>75</v>
      </c>
    </row>
    <row r="40" spans="1:3" x14ac:dyDescent="0.2">
      <c r="A40" s="110" t="s">
        <v>110</v>
      </c>
      <c r="B40" s="146">
        <v>30.4</v>
      </c>
      <c r="C40" s="112" t="s">
        <v>75</v>
      </c>
    </row>
    <row r="41" spans="1:3" x14ac:dyDescent="0.2">
      <c r="A41" s="110" t="s">
        <v>38</v>
      </c>
      <c r="B41" s="146">
        <v>61.2</v>
      </c>
      <c r="C41" s="112" t="s">
        <v>75</v>
      </c>
    </row>
    <row r="42" spans="1:3" x14ac:dyDescent="0.2">
      <c r="A42" s="110" t="s">
        <v>95</v>
      </c>
      <c r="B42" s="146">
        <v>44.3</v>
      </c>
      <c r="C42" s="112" t="s">
        <v>75</v>
      </c>
    </row>
    <row r="43" spans="1:3" x14ac:dyDescent="0.2">
      <c r="A43" s="110" t="s">
        <v>114</v>
      </c>
      <c r="B43" s="146">
        <v>44.4</v>
      </c>
      <c r="C43" s="112" t="s">
        <v>75</v>
      </c>
    </row>
    <row r="44" spans="1:3" x14ac:dyDescent="0.2">
      <c r="A44" s="110" t="s">
        <v>125</v>
      </c>
      <c r="B44" s="146">
        <v>50.8</v>
      </c>
      <c r="C44" s="112" t="s">
        <v>75</v>
      </c>
    </row>
    <row r="45" spans="1:3" x14ac:dyDescent="0.2">
      <c r="A45" s="110" t="s">
        <v>39</v>
      </c>
      <c r="B45" s="146">
        <v>56.7</v>
      </c>
      <c r="C45" s="112" t="s">
        <v>75</v>
      </c>
    </row>
    <row r="46" spans="1:3" x14ac:dyDescent="0.2">
      <c r="A46" s="110" t="s">
        <v>123</v>
      </c>
      <c r="B46" s="146">
        <v>11.7</v>
      </c>
      <c r="C46" s="112" t="s">
        <v>75</v>
      </c>
    </row>
    <row r="47" spans="1:3" x14ac:dyDescent="0.2">
      <c r="A47" s="110" t="s">
        <v>34</v>
      </c>
      <c r="B47" s="146">
        <v>8.5</v>
      </c>
      <c r="C47" s="112" t="s">
        <v>75</v>
      </c>
    </row>
    <row r="49" spans="1:13" x14ac:dyDescent="0.2">
      <c r="A49" s="18" t="s">
        <v>54</v>
      </c>
      <c r="E49" s="18" t="s">
        <v>55</v>
      </c>
    </row>
    <row r="50" spans="1:13" x14ac:dyDescent="0.2">
      <c r="A50" s="18" t="s">
        <v>56</v>
      </c>
      <c r="B50" s="18" t="s">
        <v>57</v>
      </c>
      <c r="E50" s="18" t="s">
        <v>58</v>
      </c>
      <c r="F50" s="18" t="s">
        <v>59</v>
      </c>
    </row>
    <row r="51" spans="1:13" x14ac:dyDescent="0.2">
      <c r="A51" s="18" t="s">
        <v>60</v>
      </c>
      <c r="B51" s="18" t="s">
        <v>61</v>
      </c>
      <c r="H51" s="192" t="s">
        <v>492</v>
      </c>
      <c r="I51" s="192"/>
      <c r="J51" s="192"/>
      <c r="K51" s="192"/>
      <c r="L51" s="192"/>
      <c r="M51" s="192"/>
    </row>
    <row r="52" spans="1:13" x14ac:dyDescent="0.2">
      <c r="A52" s="18" t="s">
        <v>62</v>
      </c>
      <c r="B52" s="18" t="s">
        <v>63</v>
      </c>
      <c r="H52" s="192"/>
      <c r="I52" s="192"/>
      <c r="J52" s="192"/>
      <c r="K52" s="192"/>
      <c r="L52" s="192"/>
      <c r="M52" s="192"/>
    </row>
    <row r="53" spans="1:13" x14ac:dyDescent="0.2">
      <c r="A53" s="18" t="s">
        <v>64</v>
      </c>
      <c r="B53" s="18" t="s">
        <v>65</v>
      </c>
      <c r="H53" s="192"/>
      <c r="I53" s="192"/>
      <c r="J53" s="192"/>
      <c r="K53" s="192"/>
      <c r="L53" s="192"/>
      <c r="M53" s="192"/>
    </row>
    <row r="54" spans="1:13" x14ac:dyDescent="0.2">
      <c r="A54" s="18" t="s">
        <v>66</v>
      </c>
      <c r="B54" s="18" t="s">
        <v>67</v>
      </c>
      <c r="H54" s="192"/>
      <c r="I54" s="192"/>
      <c r="J54" s="192"/>
      <c r="K54" s="192"/>
      <c r="L54" s="192"/>
      <c r="M54" s="192"/>
    </row>
    <row r="55" spans="1:13" x14ac:dyDescent="0.2">
      <c r="A55" s="18" t="s">
        <v>68</v>
      </c>
      <c r="B55" s="18" t="s">
        <v>50</v>
      </c>
      <c r="H55" s="192"/>
      <c r="I55" s="192"/>
      <c r="J55" s="192"/>
      <c r="K55" s="192"/>
      <c r="L55" s="192"/>
      <c r="M55" s="192"/>
    </row>
    <row r="56" spans="1:13" x14ac:dyDescent="0.2">
      <c r="A56" s="18" t="s">
        <v>141</v>
      </c>
      <c r="B56" s="18" t="s">
        <v>142</v>
      </c>
    </row>
    <row r="57" spans="1:13" x14ac:dyDescent="0.2">
      <c r="A57" s="18" t="s">
        <v>143</v>
      </c>
      <c r="B57" s="18" t="s">
        <v>144</v>
      </c>
    </row>
    <row r="58" spans="1:13" x14ac:dyDescent="0.2">
      <c r="A58" s="18" t="s">
        <v>145</v>
      </c>
      <c r="B58" s="18" t="s">
        <v>146</v>
      </c>
    </row>
    <row r="59" spans="1:13" x14ac:dyDescent="0.2">
      <c r="A59" s="18" t="s">
        <v>147</v>
      </c>
      <c r="B59" s="18" t="s">
        <v>148</v>
      </c>
    </row>
    <row r="60" spans="1:13" x14ac:dyDescent="0.2">
      <c r="A60" s="18" t="s">
        <v>53</v>
      </c>
      <c r="B60" s="18" t="s">
        <v>149</v>
      </c>
    </row>
    <row r="61" spans="1:13" x14ac:dyDescent="0.2">
      <c r="A61" s="18" t="s">
        <v>150</v>
      </c>
      <c r="B61" s="18" t="s">
        <v>71</v>
      </c>
    </row>
    <row r="64" spans="1:13" x14ac:dyDescent="0.2">
      <c r="A64" s="18" t="s">
        <v>473</v>
      </c>
      <c r="B64" s="18" t="s">
        <v>475</v>
      </c>
    </row>
    <row r="65" spans="1:3" x14ac:dyDescent="0.2">
      <c r="A65" s="18" t="s">
        <v>168</v>
      </c>
      <c r="B65" s="18" t="s">
        <v>470</v>
      </c>
    </row>
    <row r="66" spans="1:3" x14ac:dyDescent="0.2">
      <c r="A66" s="18" t="s">
        <v>169</v>
      </c>
      <c r="B66" s="18" t="s">
        <v>89</v>
      </c>
    </row>
    <row r="67" spans="1:3" x14ac:dyDescent="0.2">
      <c r="A67" s="18" t="s">
        <v>170</v>
      </c>
      <c r="B67" s="18" t="s">
        <v>471</v>
      </c>
    </row>
    <row r="68" spans="1:3" x14ac:dyDescent="0.2">
      <c r="A68" s="18" t="s">
        <v>172</v>
      </c>
      <c r="B68" s="18" t="s">
        <v>173</v>
      </c>
    </row>
    <row r="70" spans="1:3" x14ac:dyDescent="0.2">
      <c r="A70" s="110" t="s">
        <v>174</v>
      </c>
      <c r="B70" s="110" t="s">
        <v>175</v>
      </c>
      <c r="C70" s="110" t="s">
        <v>51</v>
      </c>
    </row>
    <row r="71" spans="1:3" x14ac:dyDescent="0.2">
      <c r="A71" s="110" t="s">
        <v>6</v>
      </c>
      <c r="B71" s="146">
        <v>41</v>
      </c>
      <c r="C71" s="112" t="s">
        <v>75</v>
      </c>
    </row>
    <row r="72" spans="1:3" x14ac:dyDescent="0.2">
      <c r="A72" s="110" t="s">
        <v>102</v>
      </c>
      <c r="B72" s="146">
        <v>53.9</v>
      </c>
      <c r="C72" s="112" t="s">
        <v>75</v>
      </c>
    </row>
    <row r="73" spans="1:3" x14ac:dyDescent="0.2">
      <c r="A73" s="110" t="s">
        <v>104</v>
      </c>
      <c r="B73" s="146">
        <v>23.1</v>
      </c>
      <c r="C73" s="112" t="s">
        <v>75</v>
      </c>
    </row>
    <row r="74" spans="1:3" x14ac:dyDescent="0.2">
      <c r="A74" s="110" t="s">
        <v>107</v>
      </c>
      <c r="B74" s="146">
        <v>21.1</v>
      </c>
      <c r="C74" s="112" t="s">
        <v>75</v>
      </c>
    </row>
    <row r="75" spans="1:3" x14ac:dyDescent="0.2">
      <c r="A75" s="110" t="s">
        <v>108</v>
      </c>
      <c r="B75" s="146">
        <v>63.8</v>
      </c>
      <c r="C75" s="112" t="s">
        <v>75</v>
      </c>
    </row>
    <row r="76" spans="1:3" x14ac:dyDescent="0.2">
      <c r="A76" s="110" t="s">
        <v>82</v>
      </c>
      <c r="B76" s="146">
        <v>43.9</v>
      </c>
      <c r="C76" s="112" t="s">
        <v>75</v>
      </c>
    </row>
    <row r="77" spans="1:3" x14ac:dyDescent="0.2">
      <c r="A77" s="110" t="s">
        <v>109</v>
      </c>
      <c r="B77" s="146">
        <v>13.6</v>
      </c>
      <c r="C77" s="112" t="s">
        <v>75</v>
      </c>
    </row>
    <row r="78" spans="1:3" x14ac:dyDescent="0.2">
      <c r="A78" s="110" t="s">
        <v>115</v>
      </c>
      <c r="B78" s="146">
        <v>68.8</v>
      </c>
      <c r="C78" s="112" t="s">
        <v>75</v>
      </c>
    </row>
    <row r="79" spans="1:3" x14ac:dyDescent="0.2">
      <c r="A79" s="110" t="s">
        <v>32</v>
      </c>
      <c r="B79" s="146">
        <v>52</v>
      </c>
      <c r="C79" s="112" t="s">
        <v>75</v>
      </c>
    </row>
    <row r="80" spans="1:3" x14ac:dyDescent="0.2">
      <c r="A80" s="110" t="s">
        <v>37</v>
      </c>
      <c r="B80" s="146">
        <v>63.3</v>
      </c>
      <c r="C80" s="112" t="s">
        <v>75</v>
      </c>
    </row>
    <row r="81" spans="1:3" x14ac:dyDescent="0.2">
      <c r="A81" s="110" t="s">
        <v>111</v>
      </c>
      <c r="B81" s="146">
        <v>43.9</v>
      </c>
      <c r="C81" s="112" t="s">
        <v>75</v>
      </c>
    </row>
    <row r="82" spans="1:3" x14ac:dyDescent="0.2">
      <c r="A82" s="110" t="s">
        <v>81</v>
      </c>
      <c r="B82" s="146">
        <v>17.3</v>
      </c>
      <c r="C82" s="112" t="s">
        <v>75</v>
      </c>
    </row>
    <row r="83" spans="1:3" x14ac:dyDescent="0.2">
      <c r="A83" s="110" t="s">
        <v>117</v>
      </c>
      <c r="B83" s="146">
        <v>39.5</v>
      </c>
      <c r="C83" s="112" t="s">
        <v>75</v>
      </c>
    </row>
    <row r="84" spans="1:3" x14ac:dyDescent="0.2">
      <c r="A84" s="110" t="s">
        <v>106</v>
      </c>
      <c r="B84" s="146">
        <v>47.6</v>
      </c>
      <c r="C84" s="112" t="s">
        <v>75</v>
      </c>
    </row>
    <row r="85" spans="1:3" x14ac:dyDescent="0.2">
      <c r="A85" s="110" t="s">
        <v>119</v>
      </c>
      <c r="B85" s="146">
        <v>8.1</v>
      </c>
      <c r="C85" s="112" t="s">
        <v>75</v>
      </c>
    </row>
    <row r="86" spans="1:3" x14ac:dyDescent="0.2">
      <c r="A86" s="110" t="s">
        <v>120</v>
      </c>
      <c r="B86" s="146">
        <v>2.5</v>
      </c>
      <c r="C86" s="112" t="s">
        <v>75</v>
      </c>
    </row>
    <row r="87" spans="1:3" x14ac:dyDescent="0.2">
      <c r="A87" s="110" t="s">
        <v>121</v>
      </c>
      <c r="B87" s="146">
        <v>54.5</v>
      </c>
      <c r="C87" s="112" t="s">
        <v>75</v>
      </c>
    </row>
    <row r="88" spans="1:3" x14ac:dyDescent="0.2">
      <c r="A88" s="110" t="s">
        <v>113</v>
      </c>
      <c r="B88" s="146">
        <v>15.2</v>
      </c>
      <c r="C88" s="112" t="s">
        <v>75</v>
      </c>
    </row>
    <row r="89" spans="1:3" x14ac:dyDescent="0.2">
      <c r="A89" s="110" t="s">
        <v>122</v>
      </c>
      <c r="B89" s="146">
        <v>41.8</v>
      </c>
      <c r="C89" s="112" t="s">
        <v>75</v>
      </c>
    </row>
    <row r="90" spans="1:3" x14ac:dyDescent="0.2">
      <c r="A90" s="110" t="s">
        <v>124</v>
      </c>
      <c r="B90" s="146">
        <v>53.4</v>
      </c>
      <c r="C90" s="112" t="s">
        <v>75</v>
      </c>
    </row>
    <row r="91" spans="1:3" x14ac:dyDescent="0.2">
      <c r="A91" s="110" t="s">
        <v>99</v>
      </c>
      <c r="B91" s="146">
        <v>45.9</v>
      </c>
      <c r="C91" s="112" t="s">
        <v>75</v>
      </c>
    </row>
    <row r="92" spans="1:3" x14ac:dyDescent="0.2">
      <c r="A92" s="110" t="s">
        <v>126</v>
      </c>
      <c r="B92" s="146">
        <v>15.9</v>
      </c>
      <c r="C92" s="112" t="s">
        <v>75</v>
      </c>
    </row>
    <row r="93" spans="1:3" x14ac:dyDescent="0.2">
      <c r="A93" s="110" t="s">
        <v>127</v>
      </c>
      <c r="B93" s="146">
        <v>26.6</v>
      </c>
      <c r="C93" s="112" t="s">
        <v>53</v>
      </c>
    </row>
    <row r="94" spans="1:3" x14ac:dyDescent="0.2">
      <c r="A94" s="110" t="s">
        <v>129</v>
      </c>
      <c r="B94" s="146">
        <v>20.7</v>
      </c>
      <c r="C94" s="112" t="s">
        <v>75</v>
      </c>
    </row>
    <row r="95" spans="1:3" x14ac:dyDescent="0.2">
      <c r="A95" s="110" t="s">
        <v>36</v>
      </c>
      <c r="B95" s="146">
        <v>28.5</v>
      </c>
      <c r="C95" s="112" t="s">
        <v>75</v>
      </c>
    </row>
    <row r="96" spans="1:3" x14ac:dyDescent="0.2">
      <c r="A96" s="110" t="s">
        <v>35</v>
      </c>
      <c r="B96" s="146">
        <v>21.9</v>
      </c>
      <c r="C96" s="112" t="s">
        <v>75</v>
      </c>
    </row>
    <row r="97" spans="1:6" x14ac:dyDescent="0.2">
      <c r="A97" s="110" t="s">
        <v>110</v>
      </c>
      <c r="B97" s="146">
        <v>36</v>
      </c>
      <c r="C97" s="112" t="s">
        <v>75</v>
      </c>
    </row>
    <row r="98" spans="1:6" x14ac:dyDescent="0.2">
      <c r="A98" s="110" t="s">
        <v>38</v>
      </c>
      <c r="B98" s="146">
        <v>65.5</v>
      </c>
      <c r="C98" s="112" t="s">
        <v>75</v>
      </c>
    </row>
    <row r="99" spans="1:6" x14ac:dyDescent="0.2">
      <c r="A99" s="110" t="s">
        <v>95</v>
      </c>
      <c r="B99" s="146">
        <v>68</v>
      </c>
      <c r="C99" s="112" t="s">
        <v>75</v>
      </c>
    </row>
    <row r="100" spans="1:6" x14ac:dyDescent="0.2">
      <c r="A100" s="110" t="s">
        <v>114</v>
      </c>
      <c r="B100" s="146">
        <v>57.2</v>
      </c>
      <c r="C100" s="112" t="s">
        <v>75</v>
      </c>
    </row>
    <row r="101" spans="1:6" x14ac:dyDescent="0.2">
      <c r="A101" s="110" t="s">
        <v>125</v>
      </c>
      <c r="B101" s="146">
        <v>65.7</v>
      </c>
      <c r="C101" s="112" t="s">
        <v>75</v>
      </c>
    </row>
    <row r="102" spans="1:6" x14ac:dyDescent="0.2">
      <c r="A102" s="110" t="s">
        <v>39</v>
      </c>
      <c r="B102" s="146">
        <v>66.900000000000006</v>
      </c>
      <c r="C102" s="112" t="s">
        <v>75</v>
      </c>
    </row>
    <row r="103" spans="1:6" x14ac:dyDescent="0.2">
      <c r="A103" s="110" t="s">
        <v>123</v>
      </c>
      <c r="B103" s="146">
        <v>24.4</v>
      </c>
      <c r="C103" s="112" t="s">
        <v>75</v>
      </c>
    </row>
    <row r="104" spans="1:6" x14ac:dyDescent="0.2">
      <c r="A104" s="110" t="s">
        <v>34</v>
      </c>
      <c r="B104" s="146">
        <v>15.1</v>
      </c>
      <c r="C104" s="112" t="s">
        <v>75</v>
      </c>
    </row>
    <row r="106" spans="1:6" x14ac:dyDescent="0.2">
      <c r="A106" s="18" t="s">
        <v>54</v>
      </c>
      <c r="E106" s="18" t="s">
        <v>55</v>
      </c>
    </row>
    <row r="107" spans="1:6" x14ac:dyDescent="0.2">
      <c r="A107" s="18" t="s">
        <v>56</v>
      </c>
      <c r="B107" s="18" t="s">
        <v>57</v>
      </c>
      <c r="E107" s="18" t="s">
        <v>58</v>
      </c>
      <c r="F107" s="18" t="s">
        <v>59</v>
      </c>
    </row>
    <row r="108" spans="1:6" x14ac:dyDescent="0.2">
      <c r="A108" s="18" t="s">
        <v>60</v>
      </c>
      <c r="B108" s="18" t="s">
        <v>61</v>
      </c>
    </row>
    <row r="109" spans="1:6" x14ac:dyDescent="0.2">
      <c r="A109" s="18" t="s">
        <v>62</v>
      </c>
      <c r="B109" s="18" t="s">
        <v>63</v>
      </c>
    </row>
    <row r="110" spans="1:6" x14ac:dyDescent="0.2">
      <c r="A110" s="18" t="s">
        <v>64</v>
      </c>
      <c r="B110" s="18" t="s">
        <v>65</v>
      </c>
    </row>
    <row r="111" spans="1:6" x14ac:dyDescent="0.2">
      <c r="A111" s="18" t="s">
        <v>66</v>
      </c>
      <c r="B111" s="18" t="s">
        <v>67</v>
      </c>
    </row>
    <row r="112" spans="1:6" x14ac:dyDescent="0.2">
      <c r="A112" s="18" t="s">
        <v>68</v>
      </c>
      <c r="B112" s="18" t="s">
        <v>50</v>
      </c>
    </row>
    <row r="113" spans="1:3" x14ac:dyDescent="0.2">
      <c r="A113" s="18" t="s">
        <v>141</v>
      </c>
      <c r="B113" s="18" t="s">
        <v>142</v>
      </c>
    </row>
    <row r="114" spans="1:3" x14ac:dyDescent="0.2">
      <c r="A114" s="18" t="s">
        <v>143</v>
      </c>
      <c r="B114" s="18" t="s">
        <v>144</v>
      </c>
    </row>
    <row r="115" spans="1:3" x14ac:dyDescent="0.2">
      <c r="A115" s="18" t="s">
        <v>145</v>
      </c>
      <c r="B115" s="18" t="s">
        <v>146</v>
      </c>
    </row>
    <row r="116" spans="1:3" x14ac:dyDescent="0.2">
      <c r="A116" s="18" t="s">
        <v>147</v>
      </c>
      <c r="B116" s="18" t="s">
        <v>148</v>
      </c>
    </row>
    <row r="117" spans="1:3" x14ac:dyDescent="0.2">
      <c r="A117" s="18" t="s">
        <v>53</v>
      </c>
      <c r="B117" s="18" t="s">
        <v>149</v>
      </c>
    </row>
    <row r="118" spans="1:3" x14ac:dyDescent="0.2">
      <c r="A118" s="18" t="s">
        <v>150</v>
      </c>
      <c r="B118" s="18" t="s">
        <v>71</v>
      </c>
    </row>
    <row r="120" spans="1:3" x14ac:dyDescent="0.2">
      <c r="A120" s="18" t="s">
        <v>473</v>
      </c>
      <c r="B120" s="18" t="s">
        <v>481</v>
      </c>
    </row>
    <row r="121" spans="1:3" x14ac:dyDescent="0.2">
      <c r="A121" s="18" t="s">
        <v>168</v>
      </c>
      <c r="B121" s="18" t="s">
        <v>470</v>
      </c>
    </row>
    <row r="122" spans="1:3" x14ac:dyDescent="0.2">
      <c r="A122" s="18" t="s">
        <v>169</v>
      </c>
      <c r="B122" s="18" t="s">
        <v>89</v>
      </c>
    </row>
    <row r="123" spans="1:3" x14ac:dyDescent="0.2">
      <c r="A123" s="18" t="s">
        <v>170</v>
      </c>
      <c r="B123" s="18" t="s">
        <v>471</v>
      </c>
    </row>
    <row r="124" spans="1:3" x14ac:dyDescent="0.2">
      <c r="A124" s="18" t="s">
        <v>172</v>
      </c>
      <c r="B124" s="18" t="s">
        <v>173</v>
      </c>
    </row>
    <row r="126" spans="1:3" x14ac:dyDescent="0.2">
      <c r="A126" s="110" t="s">
        <v>174</v>
      </c>
      <c r="B126" s="110" t="s">
        <v>175</v>
      </c>
      <c r="C126" s="110" t="s">
        <v>51</v>
      </c>
    </row>
    <row r="127" spans="1:3" x14ac:dyDescent="0.2">
      <c r="A127" s="110" t="s">
        <v>6</v>
      </c>
      <c r="B127" s="146">
        <v>52.8</v>
      </c>
      <c r="C127" s="112" t="s">
        <v>75</v>
      </c>
    </row>
    <row r="128" spans="1:3" x14ac:dyDescent="0.2">
      <c r="A128" s="110" t="s">
        <v>102</v>
      </c>
      <c r="B128" s="146">
        <v>65.400000000000006</v>
      </c>
      <c r="C128" s="112" t="s">
        <v>75</v>
      </c>
    </row>
    <row r="129" spans="1:3" x14ac:dyDescent="0.2">
      <c r="A129" s="110" t="s">
        <v>104</v>
      </c>
      <c r="B129" s="146">
        <v>25.9</v>
      </c>
      <c r="C129" s="112" t="s">
        <v>75</v>
      </c>
    </row>
    <row r="130" spans="1:3" x14ac:dyDescent="0.2">
      <c r="A130" s="110" t="s">
        <v>107</v>
      </c>
      <c r="B130" s="146">
        <v>37</v>
      </c>
      <c r="C130" s="112" t="s">
        <v>75</v>
      </c>
    </row>
    <row r="131" spans="1:3" x14ac:dyDescent="0.2">
      <c r="A131" s="110" t="s">
        <v>108</v>
      </c>
      <c r="B131" s="146">
        <v>69.2</v>
      </c>
      <c r="C131" s="112" t="s">
        <v>75</v>
      </c>
    </row>
    <row r="132" spans="1:3" x14ac:dyDescent="0.2">
      <c r="A132" s="110" t="s">
        <v>82</v>
      </c>
      <c r="B132" s="146">
        <v>48.8</v>
      </c>
      <c r="C132" s="112" t="s">
        <v>75</v>
      </c>
    </row>
    <row r="133" spans="1:3" x14ac:dyDescent="0.2">
      <c r="A133" s="110" t="s">
        <v>109</v>
      </c>
      <c r="B133" s="146">
        <v>14.7</v>
      </c>
      <c r="C133" s="112" t="s">
        <v>75</v>
      </c>
    </row>
    <row r="134" spans="1:3" x14ac:dyDescent="0.2">
      <c r="A134" s="110" t="s">
        <v>115</v>
      </c>
      <c r="B134" s="146">
        <v>76.900000000000006</v>
      </c>
      <c r="C134" s="112" t="s">
        <v>75</v>
      </c>
    </row>
    <row r="135" spans="1:3" x14ac:dyDescent="0.2">
      <c r="A135" s="110" t="s">
        <v>32</v>
      </c>
      <c r="B135" s="146">
        <v>51.1</v>
      </c>
      <c r="C135" s="112" t="s">
        <v>75</v>
      </c>
    </row>
    <row r="136" spans="1:3" x14ac:dyDescent="0.2">
      <c r="A136" s="110" t="s">
        <v>37</v>
      </c>
      <c r="B136" s="146">
        <v>68.3</v>
      </c>
      <c r="C136" s="112" t="s">
        <v>75</v>
      </c>
    </row>
    <row r="137" spans="1:3" x14ac:dyDescent="0.2">
      <c r="A137" s="110" t="s">
        <v>111</v>
      </c>
      <c r="B137" s="146">
        <v>60</v>
      </c>
      <c r="C137" s="112" t="s">
        <v>75</v>
      </c>
    </row>
    <row r="138" spans="1:3" x14ac:dyDescent="0.2">
      <c r="A138" s="110" t="s">
        <v>81</v>
      </c>
      <c r="B138" s="146">
        <v>26.3</v>
      </c>
      <c r="C138" s="112" t="s">
        <v>75</v>
      </c>
    </row>
    <row r="139" spans="1:3" x14ac:dyDescent="0.2">
      <c r="A139" s="110" t="s">
        <v>117</v>
      </c>
      <c r="B139" s="146">
        <v>43.2</v>
      </c>
      <c r="C139" s="112" t="s">
        <v>75</v>
      </c>
    </row>
    <row r="140" spans="1:3" x14ac:dyDescent="0.2">
      <c r="A140" s="110" t="s">
        <v>106</v>
      </c>
      <c r="B140" s="146">
        <v>64.8</v>
      </c>
      <c r="C140" s="112" t="s">
        <v>75</v>
      </c>
    </row>
    <row r="141" spans="1:3" x14ac:dyDescent="0.2">
      <c r="A141" s="110" t="s">
        <v>119</v>
      </c>
      <c r="B141" s="146">
        <v>15.8</v>
      </c>
      <c r="C141" s="112" t="s">
        <v>75</v>
      </c>
    </row>
    <row r="142" spans="1:3" x14ac:dyDescent="0.2">
      <c r="A142" s="110" t="s">
        <v>120</v>
      </c>
      <c r="B142" s="146">
        <v>11</v>
      </c>
      <c r="C142" s="112" t="s">
        <v>75</v>
      </c>
    </row>
    <row r="143" spans="1:3" x14ac:dyDescent="0.2">
      <c r="A143" s="110" t="s">
        <v>121</v>
      </c>
      <c r="B143" s="146">
        <v>65.7</v>
      </c>
      <c r="C143" s="112" t="s">
        <v>75</v>
      </c>
    </row>
    <row r="144" spans="1:3" x14ac:dyDescent="0.2">
      <c r="A144" s="110" t="s">
        <v>113</v>
      </c>
      <c r="B144" s="146">
        <v>24.3</v>
      </c>
      <c r="C144" s="112" t="s">
        <v>75</v>
      </c>
    </row>
    <row r="145" spans="1:3" x14ac:dyDescent="0.2">
      <c r="A145" s="110" t="s">
        <v>122</v>
      </c>
      <c r="B145" s="146">
        <v>45.7</v>
      </c>
      <c r="C145" s="112" t="s">
        <v>75</v>
      </c>
    </row>
    <row r="146" spans="1:3" x14ac:dyDescent="0.2">
      <c r="A146" s="110" t="s">
        <v>124</v>
      </c>
      <c r="B146" s="146">
        <v>65.900000000000006</v>
      </c>
      <c r="C146" s="112" t="s">
        <v>75</v>
      </c>
    </row>
    <row r="147" spans="1:3" x14ac:dyDescent="0.2">
      <c r="A147" s="110" t="s">
        <v>99</v>
      </c>
      <c r="B147" s="146">
        <v>65.3</v>
      </c>
      <c r="C147" s="112" t="s">
        <v>75</v>
      </c>
    </row>
    <row r="148" spans="1:3" x14ac:dyDescent="0.2">
      <c r="A148" s="110" t="s">
        <v>126</v>
      </c>
      <c r="B148" s="146">
        <v>25.9</v>
      </c>
      <c r="C148" s="112" t="s">
        <v>75</v>
      </c>
    </row>
    <row r="149" spans="1:3" x14ac:dyDescent="0.2">
      <c r="A149" s="110" t="s">
        <v>127</v>
      </c>
      <c r="B149" s="146">
        <v>37</v>
      </c>
      <c r="C149" s="112" t="s">
        <v>75</v>
      </c>
    </row>
    <row r="150" spans="1:3" x14ac:dyDescent="0.2">
      <c r="A150" s="110" t="s">
        <v>129</v>
      </c>
      <c r="B150" s="146">
        <v>26.6</v>
      </c>
      <c r="C150" s="112" t="s">
        <v>75</v>
      </c>
    </row>
    <row r="151" spans="1:3" x14ac:dyDescent="0.2">
      <c r="A151" s="110" t="s">
        <v>36</v>
      </c>
      <c r="B151" s="146">
        <v>47.6</v>
      </c>
      <c r="C151" s="112" t="s">
        <v>75</v>
      </c>
    </row>
    <row r="152" spans="1:3" x14ac:dyDescent="0.2">
      <c r="A152" s="110" t="s">
        <v>35</v>
      </c>
      <c r="B152" s="146">
        <v>34.700000000000003</v>
      </c>
      <c r="C152" s="112" t="s">
        <v>75</v>
      </c>
    </row>
    <row r="153" spans="1:3" x14ac:dyDescent="0.2">
      <c r="A153" s="110" t="s">
        <v>110</v>
      </c>
      <c r="B153" s="146">
        <v>50.9</v>
      </c>
      <c r="C153" s="112" t="s">
        <v>75</v>
      </c>
    </row>
    <row r="154" spans="1:3" x14ac:dyDescent="0.2">
      <c r="A154" s="110" t="s">
        <v>38</v>
      </c>
      <c r="B154" s="146">
        <v>71.7</v>
      </c>
      <c r="C154" s="112" t="s">
        <v>75</v>
      </c>
    </row>
    <row r="155" spans="1:3" x14ac:dyDescent="0.2">
      <c r="A155" s="110" t="s">
        <v>95</v>
      </c>
      <c r="B155" s="146">
        <v>65</v>
      </c>
      <c r="C155" s="112" t="s">
        <v>75</v>
      </c>
    </row>
    <row r="156" spans="1:3" x14ac:dyDescent="0.2">
      <c r="A156" s="110" t="s">
        <v>114</v>
      </c>
      <c r="B156" s="146">
        <v>59.2</v>
      </c>
      <c r="C156" s="112" t="s">
        <v>53</v>
      </c>
    </row>
    <row r="157" spans="1:3" x14ac:dyDescent="0.2">
      <c r="A157" s="110" t="s">
        <v>125</v>
      </c>
      <c r="B157" s="146">
        <v>73</v>
      </c>
      <c r="C157" s="112" t="s">
        <v>75</v>
      </c>
    </row>
    <row r="158" spans="1:3" x14ac:dyDescent="0.2">
      <c r="A158" s="110" t="s">
        <v>39</v>
      </c>
      <c r="B158" s="146">
        <v>71.099999999999994</v>
      </c>
      <c r="C158" s="112" t="s">
        <v>75</v>
      </c>
    </row>
    <row r="159" spans="1:3" x14ac:dyDescent="0.2">
      <c r="A159" s="110" t="s">
        <v>123</v>
      </c>
      <c r="B159" s="146">
        <v>26.9</v>
      </c>
      <c r="C159" s="112" t="s">
        <v>75</v>
      </c>
    </row>
    <row r="160" spans="1:3" x14ac:dyDescent="0.2">
      <c r="A160" s="110" t="s">
        <v>34</v>
      </c>
      <c r="B160" s="146">
        <v>29.2</v>
      </c>
      <c r="C160" s="112" t="s">
        <v>75</v>
      </c>
    </row>
    <row r="162" spans="1:6" x14ac:dyDescent="0.2">
      <c r="A162" s="18" t="s">
        <v>54</v>
      </c>
      <c r="E162" s="18" t="s">
        <v>55</v>
      </c>
    </row>
    <row r="163" spans="1:6" x14ac:dyDescent="0.2">
      <c r="A163" s="18" t="s">
        <v>56</v>
      </c>
      <c r="B163" s="18" t="s">
        <v>57</v>
      </c>
      <c r="E163" s="18" t="s">
        <v>58</v>
      </c>
      <c r="F163" s="18" t="s">
        <v>59</v>
      </c>
    </row>
    <row r="164" spans="1:6" x14ac:dyDescent="0.2">
      <c r="A164" s="18" t="s">
        <v>60</v>
      </c>
      <c r="B164" s="18" t="s">
        <v>61</v>
      </c>
    </row>
    <row r="165" spans="1:6" x14ac:dyDescent="0.2">
      <c r="A165" s="18" t="s">
        <v>62</v>
      </c>
      <c r="B165" s="18" t="s">
        <v>63</v>
      </c>
    </row>
    <row r="166" spans="1:6" x14ac:dyDescent="0.2">
      <c r="A166" s="18" t="s">
        <v>64</v>
      </c>
      <c r="B166" s="18" t="s">
        <v>65</v>
      </c>
    </row>
    <row r="167" spans="1:6" x14ac:dyDescent="0.2">
      <c r="A167" s="18" t="s">
        <v>66</v>
      </c>
      <c r="B167" s="18" t="s">
        <v>67</v>
      </c>
    </row>
    <row r="168" spans="1:6" x14ac:dyDescent="0.2">
      <c r="A168" s="18" t="s">
        <v>68</v>
      </c>
      <c r="B168" s="18" t="s">
        <v>50</v>
      </c>
    </row>
    <row r="169" spans="1:6" x14ac:dyDescent="0.2">
      <c r="A169" s="18" t="s">
        <v>141</v>
      </c>
      <c r="B169" s="18" t="s">
        <v>142</v>
      </c>
    </row>
    <row r="170" spans="1:6" x14ac:dyDescent="0.2">
      <c r="A170" s="18" t="s">
        <v>143</v>
      </c>
      <c r="B170" s="18" t="s">
        <v>144</v>
      </c>
    </row>
    <row r="171" spans="1:6" x14ac:dyDescent="0.2">
      <c r="A171" s="18" t="s">
        <v>145</v>
      </c>
      <c r="B171" s="18" t="s">
        <v>146</v>
      </c>
    </row>
    <row r="172" spans="1:6" x14ac:dyDescent="0.2">
      <c r="A172" s="18" t="s">
        <v>147</v>
      </c>
      <c r="B172" s="18" t="s">
        <v>148</v>
      </c>
    </row>
    <row r="173" spans="1:6" x14ac:dyDescent="0.2">
      <c r="A173" s="18" t="s">
        <v>53</v>
      </c>
      <c r="B173" s="18" t="s">
        <v>149</v>
      </c>
    </row>
    <row r="174" spans="1:6" x14ac:dyDescent="0.2">
      <c r="A174" s="18" t="s">
        <v>150</v>
      </c>
      <c r="B174" s="18" t="s">
        <v>71</v>
      </c>
    </row>
  </sheetData>
  <mergeCells count="2">
    <mergeCell ref="H5:N7"/>
    <mergeCell ref="H51:M55"/>
  </mergeCells>
  <phoneticPr fontId="7" type="noConversion"/>
  <pageMargins left="0.75" right="0.75" top="1" bottom="1" header="0.5" footer="0.5"/>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1"/>
  <sheetViews>
    <sheetView topLeftCell="A13" workbookViewId="0">
      <selection activeCell="A48" sqref="A48"/>
    </sheetView>
  </sheetViews>
  <sheetFormatPr baseColWidth="10" defaultColWidth="10.1640625" defaultRowHeight="15" x14ac:dyDescent="0.2"/>
  <cols>
    <col min="1" max="16384" width="10.1640625" style="131"/>
  </cols>
  <sheetData>
    <row r="1" spans="1:14" x14ac:dyDescent="0.2">
      <c r="A1" s="18" t="s">
        <v>305</v>
      </c>
    </row>
    <row r="3" spans="1:14" x14ac:dyDescent="0.2">
      <c r="A3" s="18" t="s">
        <v>306</v>
      </c>
      <c r="B3" s="143">
        <v>42082.506238425922</v>
      </c>
    </row>
    <row r="4" spans="1:14" x14ac:dyDescent="0.2">
      <c r="A4" s="18" t="s">
        <v>161</v>
      </c>
      <c r="B4" s="143">
        <v>42181.94260811343</v>
      </c>
    </row>
    <row r="5" spans="1:14" x14ac:dyDescent="0.2">
      <c r="A5" s="18" t="s">
        <v>162</v>
      </c>
      <c r="B5" s="18" t="s">
        <v>163</v>
      </c>
    </row>
    <row r="6" spans="1:14" x14ac:dyDescent="0.2">
      <c r="A6" s="18" t="s">
        <v>164</v>
      </c>
      <c r="B6" s="18" t="s">
        <v>165</v>
      </c>
    </row>
    <row r="7" spans="1:14" x14ac:dyDescent="0.2">
      <c r="A7" s="18" t="s">
        <v>166</v>
      </c>
      <c r="B7" s="18" t="s">
        <v>167</v>
      </c>
    </row>
    <row r="8" spans="1:14" x14ac:dyDescent="0.2">
      <c r="A8" s="18" t="s">
        <v>168</v>
      </c>
      <c r="B8" s="18" t="s">
        <v>470</v>
      </c>
    </row>
    <row r="9" spans="1:14" x14ac:dyDescent="0.2">
      <c r="A9" s="18" t="s">
        <v>169</v>
      </c>
      <c r="B9" s="18" t="s">
        <v>89</v>
      </c>
    </row>
    <row r="10" spans="1:14" x14ac:dyDescent="0.2">
      <c r="A10" s="18" t="s">
        <v>170</v>
      </c>
      <c r="B10" s="18" t="s">
        <v>471</v>
      </c>
    </row>
    <row r="11" spans="1:14" x14ac:dyDescent="0.2">
      <c r="A11" s="18" t="s">
        <v>172</v>
      </c>
      <c r="B11" s="18" t="s">
        <v>173</v>
      </c>
    </row>
    <row r="13" spans="1:14" x14ac:dyDescent="0.2">
      <c r="A13" s="110" t="s">
        <v>174</v>
      </c>
      <c r="B13" s="178" t="s">
        <v>16</v>
      </c>
      <c r="C13" s="8" t="s">
        <v>17</v>
      </c>
      <c r="D13" s="110" t="s">
        <v>51</v>
      </c>
      <c r="G13" s="191" t="s">
        <v>601</v>
      </c>
      <c r="H13" s="192"/>
      <c r="I13" s="192"/>
      <c r="J13" s="192"/>
      <c r="K13" s="192"/>
      <c r="L13" s="192"/>
      <c r="M13" s="192"/>
      <c r="N13" s="192"/>
    </row>
    <row r="14" spans="1:14" x14ac:dyDescent="0.2">
      <c r="A14" s="110" t="s">
        <v>120</v>
      </c>
      <c r="B14" s="144">
        <v>0.7</v>
      </c>
      <c r="C14" s="144">
        <v>12.9</v>
      </c>
      <c r="D14" s="112" t="s">
        <v>75</v>
      </c>
      <c r="G14" s="192"/>
      <c r="H14" s="192"/>
      <c r="I14" s="192"/>
      <c r="J14" s="192"/>
      <c r="K14" s="192"/>
      <c r="L14" s="192"/>
      <c r="M14" s="192"/>
      <c r="N14" s="192"/>
    </row>
    <row r="15" spans="1:14" x14ac:dyDescent="0.2">
      <c r="A15" s="110" t="s">
        <v>127</v>
      </c>
      <c r="B15" s="144">
        <v>4.8</v>
      </c>
      <c r="C15" s="144">
        <v>23.2</v>
      </c>
      <c r="D15" s="112" t="s">
        <v>75</v>
      </c>
      <c r="G15" s="192"/>
      <c r="H15" s="192"/>
      <c r="I15" s="192"/>
      <c r="J15" s="192"/>
      <c r="K15" s="192"/>
      <c r="L15" s="192"/>
      <c r="M15" s="192"/>
      <c r="N15" s="192"/>
    </row>
    <row r="16" spans="1:14" x14ac:dyDescent="0.2">
      <c r="A16" s="110" t="s">
        <v>119</v>
      </c>
      <c r="B16" s="144">
        <v>6.7</v>
      </c>
      <c r="C16" s="144">
        <v>17.2</v>
      </c>
      <c r="D16" s="112" t="s">
        <v>75</v>
      </c>
    </row>
    <row r="17" spans="1:4" x14ac:dyDescent="0.2">
      <c r="A17" s="110" t="s">
        <v>113</v>
      </c>
      <c r="B17" s="144">
        <v>7.8</v>
      </c>
      <c r="C17" s="144">
        <v>18.8</v>
      </c>
      <c r="D17" s="112" t="s">
        <v>53</v>
      </c>
    </row>
    <row r="18" spans="1:4" x14ac:dyDescent="0.2">
      <c r="A18" s="110" t="s">
        <v>126</v>
      </c>
      <c r="B18" s="144">
        <v>8.1</v>
      </c>
      <c r="C18" s="144">
        <v>21.2</v>
      </c>
      <c r="D18" s="112" t="s">
        <v>75</v>
      </c>
    </row>
    <row r="19" spans="1:4" x14ac:dyDescent="0.2">
      <c r="A19" s="110" t="s">
        <v>81</v>
      </c>
      <c r="B19" s="144">
        <v>8.6</v>
      </c>
      <c r="C19" s="144">
        <v>25.3</v>
      </c>
      <c r="D19" s="112" t="s">
        <v>75</v>
      </c>
    </row>
    <row r="20" spans="1:4" x14ac:dyDescent="0.2">
      <c r="A20" s="110" t="s">
        <v>123</v>
      </c>
      <c r="B20" s="144">
        <v>9.6</v>
      </c>
      <c r="C20" s="144">
        <v>23.3</v>
      </c>
      <c r="D20" s="112" t="s">
        <v>75</v>
      </c>
    </row>
    <row r="21" spans="1:4" x14ac:dyDescent="0.2">
      <c r="A21" s="110" t="s">
        <v>109</v>
      </c>
      <c r="B21" s="144">
        <v>9.8000000000000007</v>
      </c>
      <c r="C21" s="144">
        <v>33.799999999999997</v>
      </c>
      <c r="D21" s="112" t="s">
        <v>75</v>
      </c>
    </row>
    <row r="22" spans="1:4" x14ac:dyDescent="0.2">
      <c r="A22" s="110" t="s">
        <v>104</v>
      </c>
      <c r="B22" s="144">
        <v>12.9</v>
      </c>
      <c r="C22" s="144">
        <v>26.9</v>
      </c>
      <c r="D22" s="112" t="s">
        <v>75</v>
      </c>
    </row>
    <row r="23" spans="1:4" x14ac:dyDescent="0.2">
      <c r="A23" s="110" t="s">
        <v>129</v>
      </c>
      <c r="B23" s="144">
        <v>13</v>
      </c>
      <c r="C23" s="144">
        <v>24.6</v>
      </c>
      <c r="D23" s="112" t="s">
        <v>75</v>
      </c>
    </row>
    <row r="24" spans="1:4" x14ac:dyDescent="0.2">
      <c r="A24" s="110" t="s">
        <v>36</v>
      </c>
      <c r="B24" s="144">
        <v>13.5</v>
      </c>
      <c r="C24" s="144">
        <v>45.9</v>
      </c>
      <c r="D24" s="112" t="s">
        <v>75</v>
      </c>
    </row>
    <row r="25" spans="1:4" x14ac:dyDescent="0.2">
      <c r="A25" s="110" t="s">
        <v>107</v>
      </c>
      <c r="B25" s="144">
        <v>13.7</v>
      </c>
      <c r="C25" s="144">
        <v>37.1</v>
      </c>
      <c r="D25" s="112" t="s">
        <v>53</v>
      </c>
    </row>
    <row r="26" spans="1:4" x14ac:dyDescent="0.2">
      <c r="A26" s="110" t="s">
        <v>35</v>
      </c>
      <c r="B26" s="144">
        <v>13.7</v>
      </c>
      <c r="C26" s="144">
        <v>17.2</v>
      </c>
      <c r="D26" s="112" t="s">
        <v>75</v>
      </c>
    </row>
    <row r="27" spans="1:4" x14ac:dyDescent="0.2">
      <c r="A27" s="110" t="s">
        <v>106</v>
      </c>
      <c r="B27" s="144">
        <v>18.3</v>
      </c>
      <c r="C27" s="144">
        <v>55.6</v>
      </c>
      <c r="D27" s="112" t="s">
        <v>75</v>
      </c>
    </row>
    <row r="28" spans="1:4" x14ac:dyDescent="0.2">
      <c r="A28" s="110" t="s">
        <v>117</v>
      </c>
      <c r="B28" s="144">
        <v>18.899999999999999</v>
      </c>
      <c r="C28" s="144">
        <v>37.1</v>
      </c>
      <c r="D28" s="112" t="s">
        <v>75</v>
      </c>
    </row>
    <row r="29" spans="1:4" x14ac:dyDescent="0.2">
      <c r="A29" s="110" t="s">
        <v>32</v>
      </c>
      <c r="B29" s="144">
        <v>19.600000000000001</v>
      </c>
      <c r="C29" s="144">
        <v>46.8</v>
      </c>
      <c r="D29" s="112" t="s">
        <v>53</v>
      </c>
    </row>
    <row r="30" spans="1:4" x14ac:dyDescent="0.2">
      <c r="A30" s="110" t="s">
        <v>122</v>
      </c>
      <c r="B30" s="144">
        <v>25.1</v>
      </c>
      <c r="C30" s="144">
        <v>51.9</v>
      </c>
      <c r="D30" s="112" t="s">
        <v>75</v>
      </c>
    </row>
    <row r="31" spans="1:4" x14ac:dyDescent="0.2">
      <c r="A31" s="110" t="s">
        <v>37</v>
      </c>
      <c r="B31" s="144">
        <v>25.6</v>
      </c>
      <c r="C31" s="144">
        <v>52.3</v>
      </c>
      <c r="D31" s="112" t="s">
        <v>75</v>
      </c>
    </row>
    <row r="32" spans="1:4" x14ac:dyDescent="0.2">
      <c r="A32" s="110" t="s">
        <v>110</v>
      </c>
      <c r="B32" s="144">
        <v>27.4</v>
      </c>
      <c r="C32" s="144">
        <v>60.8</v>
      </c>
      <c r="D32" s="112" t="s">
        <v>75</v>
      </c>
    </row>
    <row r="33" spans="1:14" x14ac:dyDescent="0.2">
      <c r="A33" s="110" t="s">
        <v>551</v>
      </c>
      <c r="B33" s="144">
        <v>29.1</v>
      </c>
      <c r="C33" s="144">
        <v>47.3</v>
      </c>
      <c r="D33" s="112" t="s">
        <v>75</v>
      </c>
    </row>
    <row r="34" spans="1:14" x14ac:dyDescent="0.2">
      <c r="A34" s="110" t="s">
        <v>111</v>
      </c>
      <c r="B34" s="144">
        <v>29.7</v>
      </c>
      <c r="C34" s="144">
        <v>50</v>
      </c>
      <c r="D34" s="112" t="s">
        <v>75</v>
      </c>
    </row>
    <row r="35" spans="1:14" x14ac:dyDescent="0.2">
      <c r="A35" s="110" t="s">
        <v>82</v>
      </c>
      <c r="B35" s="144">
        <v>31.8</v>
      </c>
      <c r="C35" s="144">
        <v>53.2</v>
      </c>
      <c r="D35" s="112" t="s">
        <v>75</v>
      </c>
    </row>
    <row r="36" spans="1:14" x14ac:dyDescent="0.2">
      <c r="A36" s="110" t="s">
        <v>99</v>
      </c>
      <c r="B36" s="144">
        <v>33.1</v>
      </c>
      <c r="C36" s="144">
        <v>50.6</v>
      </c>
      <c r="D36" s="112" t="s">
        <v>75</v>
      </c>
    </row>
    <row r="37" spans="1:14" x14ac:dyDescent="0.2">
      <c r="A37" s="110" t="s">
        <v>121</v>
      </c>
      <c r="B37" s="144">
        <v>36.200000000000003</v>
      </c>
      <c r="C37" s="144">
        <v>52.8</v>
      </c>
      <c r="D37" s="112" t="s">
        <v>75</v>
      </c>
    </row>
    <row r="38" spans="1:14" x14ac:dyDescent="0.2">
      <c r="A38" s="110" t="s">
        <v>102</v>
      </c>
      <c r="B38" s="144">
        <v>37</v>
      </c>
      <c r="C38" s="144">
        <v>62.9</v>
      </c>
      <c r="D38" s="112" t="s">
        <v>75</v>
      </c>
    </row>
    <row r="39" spans="1:14" x14ac:dyDescent="0.2">
      <c r="A39" s="110" t="s">
        <v>114</v>
      </c>
      <c r="B39" s="144">
        <v>42.5</v>
      </c>
      <c r="C39" s="144">
        <v>59.5</v>
      </c>
      <c r="D39" s="112" t="s">
        <v>75</v>
      </c>
    </row>
    <row r="40" spans="1:14" x14ac:dyDescent="0.2">
      <c r="A40" s="110" t="s">
        <v>125</v>
      </c>
      <c r="B40" s="144">
        <v>46.8</v>
      </c>
      <c r="C40" s="144">
        <v>85.6</v>
      </c>
      <c r="D40" s="112" t="s">
        <v>75</v>
      </c>
    </row>
    <row r="41" spans="1:14" x14ac:dyDescent="0.2">
      <c r="A41" s="110" t="s">
        <v>124</v>
      </c>
      <c r="B41" s="144">
        <v>51.1</v>
      </c>
      <c r="C41" s="144">
        <v>68.5</v>
      </c>
      <c r="D41" s="112" t="s">
        <v>75</v>
      </c>
    </row>
    <row r="42" spans="1:14" x14ac:dyDescent="0.2">
      <c r="A42" s="110" t="s">
        <v>108</v>
      </c>
      <c r="B42" s="144">
        <v>52.7</v>
      </c>
      <c r="C42" s="144">
        <v>79</v>
      </c>
      <c r="D42" s="112" t="s">
        <v>75</v>
      </c>
    </row>
    <row r="43" spans="1:14" x14ac:dyDescent="0.2">
      <c r="A43" s="110" t="s">
        <v>95</v>
      </c>
      <c r="B43" s="144">
        <v>53</v>
      </c>
      <c r="C43" s="144">
        <v>79.599999999999994</v>
      </c>
      <c r="D43" s="112" t="s">
        <v>53</v>
      </c>
    </row>
    <row r="44" spans="1:14" x14ac:dyDescent="0.2">
      <c r="A44" s="110" t="s">
        <v>38</v>
      </c>
      <c r="B44" s="144">
        <v>53.4</v>
      </c>
      <c r="C44" s="144">
        <v>87.2</v>
      </c>
      <c r="D44" s="112" t="s">
        <v>75</v>
      </c>
      <c r="G44" s="191" t="s">
        <v>603</v>
      </c>
      <c r="H44" s="192"/>
      <c r="I44" s="192"/>
      <c r="J44" s="192"/>
      <c r="K44" s="192"/>
      <c r="L44" s="192"/>
      <c r="M44" s="192"/>
      <c r="N44" s="192"/>
    </row>
    <row r="45" spans="1:14" x14ac:dyDescent="0.2">
      <c r="A45" s="110" t="s">
        <v>39</v>
      </c>
      <c r="B45" s="144">
        <v>57</v>
      </c>
      <c r="C45" s="144">
        <v>81.400000000000006</v>
      </c>
      <c r="D45" s="112" t="s">
        <v>75</v>
      </c>
      <c r="G45" s="192"/>
      <c r="H45" s="192"/>
      <c r="I45" s="192"/>
      <c r="J45" s="192"/>
      <c r="K45" s="192"/>
      <c r="L45" s="192"/>
      <c r="M45" s="192"/>
      <c r="N45" s="192"/>
    </row>
    <row r="46" spans="1:14" x14ac:dyDescent="0.2">
      <c r="A46" s="110" t="s">
        <v>115</v>
      </c>
      <c r="B46" s="144">
        <v>59.8</v>
      </c>
      <c r="C46" s="144">
        <v>71.7</v>
      </c>
      <c r="D46" s="112" t="s">
        <v>75</v>
      </c>
    </row>
    <row r="48" spans="1:14" s="181" customFormat="1" x14ac:dyDescent="0.2">
      <c r="A48" s="181" t="s">
        <v>548</v>
      </c>
    </row>
    <row r="49" spans="1:6" s="181" customFormat="1" x14ac:dyDescent="0.2">
      <c r="A49" s="181" t="s">
        <v>602</v>
      </c>
    </row>
    <row r="50" spans="1:6" s="181" customFormat="1" x14ac:dyDescent="0.2"/>
    <row r="51" spans="1:6" s="181" customFormat="1" x14ac:dyDescent="0.2"/>
    <row r="52" spans="1:6" s="181" customFormat="1" x14ac:dyDescent="0.2"/>
    <row r="53" spans="1:6" s="181" customFormat="1" x14ac:dyDescent="0.2"/>
    <row r="54" spans="1:6" x14ac:dyDescent="0.2">
      <c r="A54" s="18" t="s">
        <v>54</v>
      </c>
      <c r="E54" s="18" t="s">
        <v>55</v>
      </c>
    </row>
    <row r="55" spans="1:6" x14ac:dyDescent="0.2">
      <c r="A55" s="18" t="s">
        <v>56</v>
      </c>
      <c r="B55" s="18" t="s">
        <v>57</v>
      </c>
      <c r="E55" s="18" t="s">
        <v>58</v>
      </c>
      <c r="F55" s="18" t="s">
        <v>59</v>
      </c>
    </row>
    <row r="56" spans="1:6" x14ac:dyDescent="0.2">
      <c r="A56" s="18" t="s">
        <v>60</v>
      </c>
      <c r="B56" s="18" t="s">
        <v>61</v>
      </c>
    </row>
    <row r="57" spans="1:6" x14ac:dyDescent="0.2">
      <c r="A57" s="18" t="s">
        <v>62</v>
      </c>
      <c r="B57" s="18" t="s">
        <v>63</v>
      </c>
    </row>
    <row r="58" spans="1:6" x14ac:dyDescent="0.2">
      <c r="A58" s="18" t="s">
        <v>64</v>
      </c>
      <c r="B58" s="18" t="s">
        <v>65</v>
      </c>
    </row>
    <row r="59" spans="1:6" x14ac:dyDescent="0.2">
      <c r="A59" s="18" t="s">
        <v>66</v>
      </c>
      <c r="B59" s="18" t="s">
        <v>67</v>
      </c>
    </row>
    <row r="60" spans="1:6" x14ac:dyDescent="0.2">
      <c r="A60" s="18" t="s">
        <v>68</v>
      </c>
      <c r="B60" s="18" t="s">
        <v>50</v>
      </c>
    </row>
    <row r="61" spans="1:6" x14ac:dyDescent="0.2">
      <c r="A61" s="18" t="s">
        <v>141</v>
      </c>
      <c r="B61" s="18" t="s">
        <v>142</v>
      </c>
    </row>
    <row r="62" spans="1:6" x14ac:dyDescent="0.2">
      <c r="A62" s="18" t="s">
        <v>143</v>
      </c>
      <c r="B62" s="18" t="s">
        <v>144</v>
      </c>
    </row>
    <row r="63" spans="1:6" x14ac:dyDescent="0.2">
      <c r="A63" s="18" t="s">
        <v>145</v>
      </c>
      <c r="B63" s="18" t="s">
        <v>146</v>
      </c>
    </row>
    <row r="64" spans="1:6" x14ac:dyDescent="0.2">
      <c r="A64" s="18" t="s">
        <v>147</v>
      </c>
      <c r="B64" s="18" t="s">
        <v>148</v>
      </c>
    </row>
    <row r="65" spans="1:3" x14ac:dyDescent="0.2">
      <c r="A65" s="18" t="s">
        <v>53</v>
      </c>
      <c r="B65" s="18" t="s">
        <v>149</v>
      </c>
    </row>
    <row r="66" spans="1:3" x14ac:dyDescent="0.2">
      <c r="A66" s="18" t="s">
        <v>150</v>
      </c>
      <c r="B66" s="18" t="s">
        <v>71</v>
      </c>
    </row>
    <row r="68" spans="1:3" x14ac:dyDescent="0.2">
      <c r="A68" s="18" t="s">
        <v>166</v>
      </c>
      <c r="B68" s="18" t="s">
        <v>167</v>
      </c>
    </row>
    <row r="69" spans="1:3" x14ac:dyDescent="0.2">
      <c r="A69" s="18" t="s">
        <v>168</v>
      </c>
      <c r="B69" s="18" t="s">
        <v>470</v>
      </c>
    </row>
    <row r="70" spans="1:3" x14ac:dyDescent="0.2">
      <c r="A70" s="18" t="s">
        <v>169</v>
      </c>
      <c r="B70" s="18" t="s">
        <v>89</v>
      </c>
    </row>
    <row r="71" spans="1:3" x14ac:dyDescent="0.2">
      <c r="A71" s="18" t="s">
        <v>170</v>
      </c>
      <c r="B71" s="18" t="s">
        <v>210</v>
      </c>
    </row>
    <row r="72" spans="1:3" x14ac:dyDescent="0.2">
      <c r="A72" s="18" t="s">
        <v>172</v>
      </c>
      <c r="B72" s="18" t="s">
        <v>173</v>
      </c>
    </row>
    <row r="74" spans="1:3" x14ac:dyDescent="0.2">
      <c r="A74" s="110" t="s">
        <v>174</v>
      </c>
      <c r="B74" s="110" t="s">
        <v>175</v>
      </c>
      <c r="C74" s="110" t="s">
        <v>51</v>
      </c>
    </row>
    <row r="75" spans="1:3" x14ac:dyDescent="0.2">
      <c r="A75" s="110" t="s">
        <v>6</v>
      </c>
      <c r="B75" s="144">
        <v>41.4</v>
      </c>
      <c r="C75" s="112" t="s">
        <v>75</v>
      </c>
    </row>
    <row r="76" spans="1:3" x14ac:dyDescent="0.2">
      <c r="A76" s="110" t="s">
        <v>102</v>
      </c>
      <c r="B76" s="144">
        <v>37.700000000000003</v>
      </c>
      <c r="C76" s="112" t="s">
        <v>75</v>
      </c>
    </row>
    <row r="77" spans="1:3" x14ac:dyDescent="0.2">
      <c r="A77" s="110" t="s">
        <v>104</v>
      </c>
      <c r="B77" s="144">
        <v>47.2</v>
      </c>
      <c r="C77" s="112" t="s">
        <v>75</v>
      </c>
    </row>
    <row r="78" spans="1:3" x14ac:dyDescent="0.2">
      <c r="A78" s="110" t="s">
        <v>107</v>
      </c>
      <c r="B78" s="144">
        <v>47.9</v>
      </c>
      <c r="C78" s="112" t="s">
        <v>75</v>
      </c>
    </row>
    <row r="79" spans="1:3" x14ac:dyDescent="0.2">
      <c r="A79" s="110" t="s">
        <v>108</v>
      </c>
      <c r="B79" s="144">
        <v>29.6</v>
      </c>
      <c r="C79" s="112" t="s">
        <v>75</v>
      </c>
    </row>
    <row r="80" spans="1:3" x14ac:dyDescent="0.2">
      <c r="A80" s="110" t="s">
        <v>82</v>
      </c>
      <c r="B80" s="144">
        <v>47.6</v>
      </c>
      <c r="C80" s="112" t="s">
        <v>75</v>
      </c>
    </row>
    <row r="81" spans="1:3" x14ac:dyDescent="0.2">
      <c r="A81" s="110" t="s">
        <v>109</v>
      </c>
      <c r="B81" s="144">
        <v>45.4</v>
      </c>
      <c r="C81" s="112" t="s">
        <v>75</v>
      </c>
    </row>
    <row r="82" spans="1:3" x14ac:dyDescent="0.2">
      <c r="A82" s="110" t="s">
        <v>115</v>
      </c>
      <c r="B82" s="144">
        <v>28.9</v>
      </c>
      <c r="C82" s="112" t="s">
        <v>75</v>
      </c>
    </row>
    <row r="83" spans="1:3" x14ac:dyDescent="0.2">
      <c r="A83" s="110" t="s">
        <v>32</v>
      </c>
      <c r="B83" s="144">
        <v>37.200000000000003</v>
      </c>
      <c r="C83" s="112" t="s">
        <v>75</v>
      </c>
    </row>
    <row r="84" spans="1:3" x14ac:dyDescent="0.2">
      <c r="A84" s="110" t="s">
        <v>37</v>
      </c>
      <c r="B84" s="144">
        <v>41.5</v>
      </c>
      <c r="C84" s="112" t="s">
        <v>75</v>
      </c>
    </row>
    <row r="85" spans="1:3" x14ac:dyDescent="0.2">
      <c r="A85" s="110" t="s">
        <v>111</v>
      </c>
      <c r="B85" s="144">
        <v>44</v>
      </c>
      <c r="C85" s="112" t="s">
        <v>75</v>
      </c>
    </row>
    <row r="86" spans="1:3" x14ac:dyDescent="0.2">
      <c r="A86" s="110" t="s">
        <v>81</v>
      </c>
      <c r="B86" s="144">
        <v>25.1</v>
      </c>
      <c r="C86" s="112" t="s">
        <v>75</v>
      </c>
    </row>
    <row r="87" spans="1:3" x14ac:dyDescent="0.2">
      <c r="A87" s="110" t="s">
        <v>117</v>
      </c>
      <c r="B87" s="144">
        <v>42.2</v>
      </c>
      <c r="C87" s="112" t="s">
        <v>75</v>
      </c>
    </row>
    <row r="88" spans="1:3" x14ac:dyDescent="0.2">
      <c r="A88" s="110" t="s">
        <v>106</v>
      </c>
      <c r="B88" s="144">
        <v>44.4</v>
      </c>
      <c r="C88" s="112" t="s">
        <v>75</v>
      </c>
    </row>
    <row r="89" spans="1:3" x14ac:dyDescent="0.2">
      <c r="A89" s="110" t="s">
        <v>119</v>
      </c>
      <c r="B89" s="144">
        <v>41.4</v>
      </c>
      <c r="C89" s="112" t="s">
        <v>75</v>
      </c>
    </row>
    <row r="90" spans="1:3" x14ac:dyDescent="0.2">
      <c r="A90" s="110" t="s">
        <v>120</v>
      </c>
      <c r="B90" s="144">
        <v>33.299999999999997</v>
      </c>
      <c r="C90" s="112" t="s">
        <v>75</v>
      </c>
    </row>
    <row r="91" spans="1:3" x14ac:dyDescent="0.2">
      <c r="A91" s="110" t="s">
        <v>121</v>
      </c>
      <c r="B91" s="144">
        <v>37.5</v>
      </c>
      <c r="C91" s="112" t="s">
        <v>75</v>
      </c>
    </row>
    <row r="92" spans="1:3" x14ac:dyDescent="0.2">
      <c r="A92" s="110" t="s">
        <v>113</v>
      </c>
      <c r="B92" s="144">
        <v>36.9</v>
      </c>
      <c r="C92" s="112" t="s">
        <v>75</v>
      </c>
    </row>
    <row r="93" spans="1:3" x14ac:dyDescent="0.2">
      <c r="A93" s="110" t="s">
        <v>122</v>
      </c>
      <c r="B93" s="144">
        <v>58.3</v>
      </c>
      <c r="C93" s="112" t="s">
        <v>75</v>
      </c>
    </row>
    <row r="94" spans="1:3" x14ac:dyDescent="0.2">
      <c r="A94" s="110" t="s">
        <v>124</v>
      </c>
      <c r="B94" s="144">
        <v>37</v>
      </c>
      <c r="C94" s="112" t="s">
        <v>75</v>
      </c>
    </row>
    <row r="95" spans="1:3" x14ac:dyDescent="0.2">
      <c r="A95" s="110" t="s">
        <v>99</v>
      </c>
      <c r="B95" s="144">
        <v>44.6</v>
      </c>
      <c r="C95" s="112" t="s">
        <v>75</v>
      </c>
    </row>
    <row r="96" spans="1:3" x14ac:dyDescent="0.2">
      <c r="A96" s="110" t="s">
        <v>126</v>
      </c>
      <c r="B96" s="144">
        <v>36.9</v>
      </c>
      <c r="C96" s="112" t="s">
        <v>75</v>
      </c>
    </row>
    <row r="97" spans="1:6" x14ac:dyDescent="0.2">
      <c r="A97" s="110" t="s">
        <v>127</v>
      </c>
      <c r="B97" s="144">
        <v>35.200000000000003</v>
      </c>
      <c r="C97" s="112" t="s">
        <v>75</v>
      </c>
    </row>
    <row r="98" spans="1:6" x14ac:dyDescent="0.2">
      <c r="A98" s="110" t="s">
        <v>129</v>
      </c>
      <c r="B98" s="144">
        <v>46.4</v>
      </c>
      <c r="C98" s="112" t="s">
        <v>75</v>
      </c>
    </row>
    <row r="99" spans="1:6" x14ac:dyDescent="0.2">
      <c r="A99" s="110" t="s">
        <v>36</v>
      </c>
      <c r="B99" s="144">
        <v>43.5</v>
      </c>
      <c r="C99" s="112" t="s">
        <v>75</v>
      </c>
    </row>
    <row r="100" spans="1:6" x14ac:dyDescent="0.2">
      <c r="A100" s="110" t="s">
        <v>35</v>
      </c>
      <c r="B100" s="144">
        <v>40.700000000000003</v>
      </c>
      <c r="C100" s="112" t="s">
        <v>75</v>
      </c>
    </row>
    <row r="101" spans="1:6" x14ac:dyDescent="0.2">
      <c r="A101" s="110" t="s">
        <v>110</v>
      </c>
      <c r="B101" s="144">
        <v>53.1</v>
      </c>
      <c r="C101" s="112" t="s">
        <v>75</v>
      </c>
    </row>
    <row r="102" spans="1:6" x14ac:dyDescent="0.2">
      <c r="A102" s="110" t="s">
        <v>38</v>
      </c>
      <c r="B102" s="144">
        <v>38.700000000000003</v>
      </c>
      <c r="C102" s="112" t="s">
        <v>75</v>
      </c>
    </row>
    <row r="103" spans="1:6" x14ac:dyDescent="0.2">
      <c r="A103" s="110" t="s">
        <v>95</v>
      </c>
      <c r="B103" s="144">
        <v>32.299999999999997</v>
      </c>
      <c r="C103" s="112" t="s">
        <v>75</v>
      </c>
    </row>
    <row r="104" spans="1:6" x14ac:dyDescent="0.2">
      <c r="A104" s="110" t="s">
        <v>114</v>
      </c>
      <c r="B104" s="144">
        <v>41.2</v>
      </c>
      <c r="C104" s="112" t="s">
        <v>75</v>
      </c>
    </row>
    <row r="105" spans="1:6" x14ac:dyDescent="0.2">
      <c r="A105" s="110" t="s">
        <v>125</v>
      </c>
      <c r="B105" s="144">
        <v>31.9</v>
      </c>
      <c r="C105" s="112" t="s">
        <v>75</v>
      </c>
    </row>
    <row r="106" spans="1:6" x14ac:dyDescent="0.2">
      <c r="A106" s="110" t="s">
        <v>39</v>
      </c>
      <c r="B106" s="144">
        <v>34.799999999999997</v>
      </c>
      <c r="C106" s="112" t="s">
        <v>75</v>
      </c>
    </row>
    <row r="107" spans="1:6" x14ac:dyDescent="0.2">
      <c r="A107" s="110" t="s">
        <v>123</v>
      </c>
      <c r="B107" s="144">
        <v>10.9</v>
      </c>
      <c r="C107" s="112" t="s">
        <v>75</v>
      </c>
    </row>
    <row r="109" spans="1:6" x14ac:dyDescent="0.2">
      <c r="A109" s="18" t="s">
        <v>54</v>
      </c>
      <c r="E109" s="18" t="s">
        <v>55</v>
      </c>
    </row>
    <row r="110" spans="1:6" x14ac:dyDescent="0.2">
      <c r="A110" s="18" t="s">
        <v>56</v>
      </c>
      <c r="B110" s="18" t="s">
        <v>57</v>
      </c>
      <c r="E110" s="18" t="s">
        <v>58</v>
      </c>
      <c r="F110" s="18" t="s">
        <v>59</v>
      </c>
    </row>
    <row r="111" spans="1:6" x14ac:dyDescent="0.2">
      <c r="A111" s="18" t="s">
        <v>60</v>
      </c>
      <c r="B111" s="18" t="s">
        <v>61</v>
      </c>
    </row>
    <row r="112" spans="1:6" x14ac:dyDescent="0.2">
      <c r="A112" s="18" t="s">
        <v>62</v>
      </c>
      <c r="B112" s="18" t="s">
        <v>63</v>
      </c>
    </row>
    <row r="113" spans="1:2" x14ac:dyDescent="0.2">
      <c r="A113" s="18" t="s">
        <v>64</v>
      </c>
      <c r="B113" s="18" t="s">
        <v>65</v>
      </c>
    </row>
    <row r="114" spans="1:2" x14ac:dyDescent="0.2">
      <c r="A114" s="18" t="s">
        <v>66</v>
      </c>
      <c r="B114" s="18" t="s">
        <v>67</v>
      </c>
    </row>
    <row r="115" spans="1:2" x14ac:dyDescent="0.2">
      <c r="A115" s="18" t="s">
        <v>68</v>
      </c>
      <c r="B115" s="18" t="s">
        <v>50</v>
      </c>
    </row>
    <row r="116" spans="1:2" x14ac:dyDescent="0.2">
      <c r="A116" s="18" t="s">
        <v>141</v>
      </c>
      <c r="B116" s="18" t="s">
        <v>142</v>
      </c>
    </row>
    <row r="117" spans="1:2" x14ac:dyDescent="0.2">
      <c r="A117" s="18" t="s">
        <v>143</v>
      </c>
      <c r="B117" s="18" t="s">
        <v>144</v>
      </c>
    </row>
    <row r="118" spans="1:2" x14ac:dyDescent="0.2">
      <c r="A118" s="18" t="s">
        <v>145</v>
      </c>
      <c r="B118" s="18" t="s">
        <v>146</v>
      </c>
    </row>
    <row r="119" spans="1:2" x14ac:dyDescent="0.2">
      <c r="A119" s="18" t="s">
        <v>147</v>
      </c>
      <c r="B119" s="18" t="s">
        <v>148</v>
      </c>
    </row>
    <row r="120" spans="1:2" x14ac:dyDescent="0.2">
      <c r="A120" s="18" t="s">
        <v>53</v>
      </c>
      <c r="B120" s="18" t="s">
        <v>149</v>
      </c>
    </row>
    <row r="121" spans="1:2" x14ac:dyDescent="0.2">
      <c r="A121" s="18" t="s">
        <v>150</v>
      </c>
      <c r="B121" s="18" t="s">
        <v>71</v>
      </c>
    </row>
    <row r="123" spans="1:2" x14ac:dyDescent="0.2">
      <c r="A123" s="18" t="s">
        <v>166</v>
      </c>
      <c r="B123" s="18" t="s">
        <v>167</v>
      </c>
    </row>
    <row r="124" spans="1:2" x14ac:dyDescent="0.2">
      <c r="A124" s="18" t="s">
        <v>168</v>
      </c>
      <c r="B124" s="18" t="s">
        <v>470</v>
      </c>
    </row>
    <row r="125" spans="1:2" x14ac:dyDescent="0.2">
      <c r="A125" s="18" t="s">
        <v>169</v>
      </c>
      <c r="B125" s="18" t="s">
        <v>89</v>
      </c>
    </row>
    <row r="126" spans="1:2" x14ac:dyDescent="0.2">
      <c r="A126" s="18" t="s">
        <v>170</v>
      </c>
      <c r="B126" s="18" t="s">
        <v>171</v>
      </c>
    </row>
    <row r="127" spans="1:2" x14ac:dyDescent="0.2">
      <c r="A127" s="18" t="s">
        <v>172</v>
      </c>
      <c r="B127" s="18" t="s">
        <v>173</v>
      </c>
    </row>
    <row r="129" spans="1:3" x14ac:dyDescent="0.2">
      <c r="A129" s="110" t="s">
        <v>174</v>
      </c>
      <c r="B129" s="110" t="s">
        <v>175</v>
      </c>
      <c r="C129" s="110" t="s">
        <v>51</v>
      </c>
    </row>
    <row r="130" spans="1:3" x14ac:dyDescent="0.2">
      <c r="A130" s="110" t="s">
        <v>6</v>
      </c>
      <c r="B130" s="144">
        <v>29.5</v>
      </c>
      <c r="C130" s="112" t="s">
        <v>75</v>
      </c>
    </row>
    <row r="131" spans="1:3" x14ac:dyDescent="0.2">
      <c r="A131" s="110" t="s">
        <v>102</v>
      </c>
      <c r="B131" s="144">
        <v>25.3</v>
      </c>
      <c r="C131" s="112" t="s">
        <v>75</v>
      </c>
    </row>
    <row r="132" spans="1:3" x14ac:dyDescent="0.2">
      <c r="A132" s="110" t="s">
        <v>104</v>
      </c>
      <c r="B132" s="144">
        <v>39.9</v>
      </c>
      <c r="C132" s="112" t="s">
        <v>75</v>
      </c>
    </row>
    <row r="133" spans="1:3" x14ac:dyDescent="0.2">
      <c r="A133" s="110" t="s">
        <v>107</v>
      </c>
      <c r="B133" s="144">
        <v>38.4</v>
      </c>
      <c r="C133" s="112" t="s">
        <v>75</v>
      </c>
    </row>
    <row r="134" spans="1:3" x14ac:dyDescent="0.2">
      <c r="A134" s="110" t="s">
        <v>108</v>
      </c>
      <c r="B134" s="144">
        <v>17.7</v>
      </c>
      <c r="C134" s="112" t="s">
        <v>75</v>
      </c>
    </row>
    <row r="135" spans="1:3" x14ac:dyDescent="0.2">
      <c r="A135" s="110" t="s">
        <v>82</v>
      </c>
      <c r="B135" s="144">
        <v>20.6</v>
      </c>
      <c r="C135" s="112" t="s">
        <v>75</v>
      </c>
    </row>
    <row r="136" spans="1:3" x14ac:dyDescent="0.2">
      <c r="A136" s="110" t="s">
        <v>109</v>
      </c>
      <c r="B136" s="144">
        <v>44.8</v>
      </c>
      <c r="C136" s="112" t="s">
        <v>75</v>
      </c>
    </row>
    <row r="137" spans="1:3" x14ac:dyDescent="0.2">
      <c r="A137" s="110" t="s">
        <v>115</v>
      </c>
      <c r="B137" s="144">
        <v>11.3</v>
      </c>
      <c r="C137" s="112" t="s">
        <v>75</v>
      </c>
    </row>
    <row r="138" spans="1:3" x14ac:dyDescent="0.2">
      <c r="A138" s="110" t="s">
        <v>32</v>
      </c>
      <c r="B138" s="144">
        <v>43.1</v>
      </c>
      <c r="C138" s="112" t="s">
        <v>75</v>
      </c>
    </row>
    <row r="139" spans="1:3" x14ac:dyDescent="0.2">
      <c r="A139" s="110" t="s">
        <v>37</v>
      </c>
      <c r="B139" s="144">
        <v>32.9</v>
      </c>
      <c r="C139" s="112" t="s">
        <v>75</v>
      </c>
    </row>
    <row r="140" spans="1:3" x14ac:dyDescent="0.2">
      <c r="A140" s="110" t="s">
        <v>111</v>
      </c>
      <c r="B140" s="144">
        <v>26.3</v>
      </c>
      <c r="C140" s="112" t="s">
        <v>75</v>
      </c>
    </row>
    <row r="141" spans="1:3" x14ac:dyDescent="0.2">
      <c r="A141" s="110" t="s">
        <v>81</v>
      </c>
      <c r="B141" s="144">
        <v>66.3</v>
      </c>
      <c r="C141" s="112" t="s">
        <v>75</v>
      </c>
    </row>
    <row r="142" spans="1:3" x14ac:dyDescent="0.2">
      <c r="A142" s="110" t="s">
        <v>117</v>
      </c>
      <c r="B142" s="144">
        <v>38.9</v>
      </c>
      <c r="C142" s="112" t="s">
        <v>75</v>
      </c>
    </row>
    <row r="143" spans="1:3" x14ac:dyDescent="0.2">
      <c r="A143" s="110" t="s">
        <v>106</v>
      </c>
      <c r="B143" s="144">
        <v>37.299999999999997</v>
      </c>
      <c r="C143" s="112" t="s">
        <v>75</v>
      </c>
    </row>
    <row r="144" spans="1:3" x14ac:dyDescent="0.2">
      <c r="A144" s="110" t="s">
        <v>119</v>
      </c>
      <c r="B144" s="144">
        <v>51.9</v>
      </c>
      <c r="C144" s="112" t="s">
        <v>75</v>
      </c>
    </row>
    <row r="145" spans="1:3" x14ac:dyDescent="0.2">
      <c r="A145" s="110" t="s">
        <v>120</v>
      </c>
      <c r="B145" s="144">
        <v>66</v>
      </c>
      <c r="C145" s="112" t="s">
        <v>75</v>
      </c>
    </row>
    <row r="146" spans="1:3" x14ac:dyDescent="0.2">
      <c r="A146" s="110" t="s">
        <v>121</v>
      </c>
      <c r="B146" s="144">
        <v>26.4</v>
      </c>
      <c r="C146" s="112" t="s">
        <v>75</v>
      </c>
    </row>
    <row r="147" spans="1:3" x14ac:dyDescent="0.2">
      <c r="A147" s="110" t="s">
        <v>113</v>
      </c>
      <c r="B147" s="144">
        <v>55.3</v>
      </c>
      <c r="C147" s="112" t="s">
        <v>75</v>
      </c>
    </row>
    <row r="148" spans="1:3" x14ac:dyDescent="0.2">
      <c r="A148" s="110" t="s">
        <v>122</v>
      </c>
      <c r="B148" s="144">
        <v>16.600000000000001</v>
      </c>
      <c r="C148" s="112" t="s">
        <v>75</v>
      </c>
    </row>
    <row r="149" spans="1:3" x14ac:dyDescent="0.2">
      <c r="A149" s="110" t="s">
        <v>124</v>
      </c>
      <c r="B149" s="144">
        <v>12</v>
      </c>
      <c r="C149" s="112" t="s">
        <v>75</v>
      </c>
    </row>
    <row r="150" spans="1:3" x14ac:dyDescent="0.2">
      <c r="A150" s="110" t="s">
        <v>99</v>
      </c>
      <c r="B150" s="144">
        <v>22.4</v>
      </c>
      <c r="C150" s="112" t="s">
        <v>75</v>
      </c>
    </row>
    <row r="151" spans="1:3" x14ac:dyDescent="0.2">
      <c r="A151" s="110" t="s">
        <v>126</v>
      </c>
      <c r="B151" s="144">
        <v>55</v>
      </c>
      <c r="C151" s="112" t="s">
        <v>75</v>
      </c>
    </row>
    <row r="152" spans="1:3" x14ac:dyDescent="0.2">
      <c r="A152" s="110" t="s">
        <v>127</v>
      </c>
      <c r="B152" s="144">
        <v>60</v>
      </c>
      <c r="C152" s="112" t="s">
        <v>75</v>
      </c>
    </row>
    <row r="153" spans="1:3" x14ac:dyDescent="0.2">
      <c r="A153" s="110" t="s">
        <v>129</v>
      </c>
      <c r="B153" s="144">
        <v>40.6</v>
      </c>
      <c r="C153" s="112" t="s">
        <v>75</v>
      </c>
    </row>
    <row r="154" spans="1:3" x14ac:dyDescent="0.2">
      <c r="A154" s="110" t="s">
        <v>36</v>
      </c>
      <c r="B154" s="144">
        <v>43.1</v>
      </c>
      <c r="C154" s="112" t="s">
        <v>75</v>
      </c>
    </row>
    <row r="155" spans="1:3" x14ac:dyDescent="0.2">
      <c r="A155" s="110" t="s">
        <v>35</v>
      </c>
      <c r="B155" s="144">
        <v>45.6</v>
      </c>
      <c r="C155" s="112" t="s">
        <v>75</v>
      </c>
    </row>
    <row r="156" spans="1:3" x14ac:dyDescent="0.2">
      <c r="A156" s="110" t="s">
        <v>110</v>
      </c>
      <c r="B156" s="144">
        <v>19.5</v>
      </c>
      <c r="C156" s="112" t="s">
        <v>75</v>
      </c>
    </row>
    <row r="157" spans="1:3" x14ac:dyDescent="0.2">
      <c r="A157" s="110" t="s">
        <v>38</v>
      </c>
      <c r="B157" s="144">
        <v>7.9</v>
      </c>
      <c r="C157" s="112" t="s">
        <v>75</v>
      </c>
    </row>
    <row r="158" spans="1:3" x14ac:dyDescent="0.2">
      <c r="A158" s="110" t="s">
        <v>95</v>
      </c>
      <c r="B158" s="144">
        <v>14.7</v>
      </c>
      <c r="C158" s="112" t="s">
        <v>75</v>
      </c>
    </row>
    <row r="159" spans="1:3" x14ac:dyDescent="0.2">
      <c r="A159" s="110" t="s">
        <v>114</v>
      </c>
      <c r="B159" s="144">
        <v>16.3</v>
      </c>
      <c r="C159" s="112" t="s">
        <v>75</v>
      </c>
    </row>
    <row r="160" spans="1:3" x14ac:dyDescent="0.2">
      <c r="A160" s="110" t="s">
        <v>125</v>
      </c>
      <c r="B160" s="144">
        <v>21.3</v>
      </c>
      <c r="C160" s="112" t="s">
        <v>75</v>
      </c>
    </row>
    <row r="161" spans="1:6" x14ac:dyDescent="0.2">
      <c r="A161" s="110" t="s">
        <v>39</v>
      </c>
      <c r="B161" s="144">
        <v>8.1999999999999993</v>
      </c>
      <c r="C161" s="112" t="s">
        <v>75</v>
      </c>
    </row>
    <row r="162" spans="1:6" x14ac:dyDescent="0.2">
      <c r="A162" s="110" t="s">
        <v>123</v>
      </c>
      <c r="B162" s="144">
        <v>79.5</v>
      </c>
      <c r="C162" s="112" t="s">
        <v>75</v>
      </c>
    </row>
    <row r="164" spans="1:6" x14ac:dyDescent="0.2">
      <c r="A164" s="18" t="s">
        <v>54</v>
      </c>
      <c r="E164" s="18" t="s">
        <v>55</v>
      </c>
    </row>
    <row r="165" spans="1:6" x14ac:dyDescent="0.2">
      <c r="A165" s="18" t="s">
        <v>56</v>
      </c>
      <c r="B165" s="18" t="s">
        <v>57</v>
      </c>
      <c r="E165" s="18" t="s">
        <v>58</v>
      </c>
      <c r="F165" s="18" t="s">
        <v>59</v>
      </c>
    </row>
    <row r="166" spans="1:6" x14ac:dyDescent="0.2">
      <c r="A166" s="18" t="s">
        <v>60</v>
      </c>
      <c r="B166" s="18" t="s">
        <v>61</v>
      </c>
    </row>
    <row r="167" spans="1:6" x14ac:dyDescent="0.2">
      <c r="A167" s="18" t="s">
        <v>62</v>
      </c>
      <c r="B167" s="18" t="s">
        <v>63</v>
      </c>
    </row>
    <row r="168" spans="1:6" x14ac:dyDescent="0.2">
      <c r="A168" s="18" t="s">
        <v>64</v>
      </c>
      <c r="B168" s="18" t="s">
        <v>65</v>
      </c>
    </row>
    <row r="169" spans="1:6" x14ac:dyDescent="0.2">
      <c r="A169" s="18" t="s">
        <v>66</v>
      </c>
      <c r="B169" s="18" t="s">
        <v>67</v>
      </c>
    </row>
    <row r="170" spans="1:6" x14ac:dyDescent="0.2">
      <c r="A170" s="18" t="s">
        <v>68</v>
      </c>
      <c r="B170" s="18" t="s">
        <v>50</v>
      </c>
    </row>
    <row r="171" spans="1:6" x14ac:dyDescent="0.2">
      <c r="A171" s="18" t="s">
        <v>141</v>
      </c>
      <c r="B171" s="18" t="s">
        <v>142</v>
      </c>
    </row>
    <row r="172" spans="1:6" x14ac:dyDescent="0.2">
      <c r="A172" s="18" t="s">
        <v>143</v>
      </c>
      <c r="B172" s="18" t="s">
        <v>144</v>
      </c>
    </row>
    <row r="173" spans="1:6" x14ac:dyDescent="0.2">
      <c r="A173" s="18" t="s">
        <v>145</v>
      </c>
      <c r="B173" s="18" t="s">
        <v>146</v>
      </c>
    </row>
    <row r="174" spans="1:6" x14ac:dyDescent="0.2">
      <c r="A174" s="18" t="s">
        <v>147</v>
      </c>
      <c r="B174" s="18" t="s">
        <v>148</v>
      </c>
    </row>
    <row r="175" spans="1:6" x14ac:dyDescent="0.2">
      <c r="A175" s="18" t="s">
        <v>53</v>
      </c>
      <c r="B175" s="18" t="s">
        <v>149</v>
      </c>
    </row>
    <row r="176" spans="1:6" x14ac:dyDescent="0.2">
      <c r="A176" s="18" t="s">
        <v>150</v>
      </c>
      <c r="B176" s="18" t="s">
        <v>71</v>
      </c>
    </row>
    <row r="178" spans="1:3" x14ac:dyDescent="0.2">
      <c r="A178" s="18" t="s">
        <v>166</v>
      </c>
      <c r="B178" s="18" t="s">
        <v>73</v>
      </c>
    </row>
    <row r="179" spans="1:3" x14ac:dyDescent="0.2">
      <c r="A179" s="18" t="s">
        <v>168</v>
      </c>
      <c r="B179" s="18" t="s">
        <v>470</v>
      </c>
    </row>
    <row r="180" spans="1:3" x14ac:dyDescent="0.2">
      <c r="A180" s="18" t="s">
        <v>169</v>
      </c>
      <c r="B180" s="18" t="s">
        <v>89</v>
      </c>
    </row>
    <row r="181" spans="1:3" x14ac:dyDescent="0.2">
      <c r="A181" s="18" t="s">
        <v>170</v>
      </c>
      <c r="B181" s="18" t="s">
        <v>471</v>
      </c>
    </row>
    <row r="182" spans="1:3" x14ac:dyDescent="0.2">
      <c r="A182" s="18" t="s">
        <v>172</v>
      </c>
      <c r="B182" s="18" t="s">
        <v>173</v>
      </c>
    </row>
    <row r="184" spans="1:3" x14ac:dyDescent="0.2">
      <c r="A184" s="110" t="s">
        <v>174</v>
      </c>
      <c r="B184" s="110" t="s">
        <v>175</v>
      </c>
      <c r="C184" s="110" t="s">
        <v>51</v>
      </c>
    </row>
    <row r="185" spans="1:3" x14ac:dyDescent="0.2">
      <c r="A185" s="110" t="s">
        <v>6</v>
      </c>
      <c r="B185" s="144">
        <v>47.3</v>
      </c>
      <c r="C185" s="112" t="s">
        <v>75</v>
      </c>
    </row>
    <row r="186" spans="1:3" x14ac:dyDescent="0.2">
      <c r="A186" s="110" t="s">
        <v>102</v>
      </c>
      <c r="B186" s="144">
        <v>62.9</v>
      </c>
      <c r="C186" s="112" t="s">
        <v>75</v>
      </c>
    </row>
    <row r="187" spans="1:3" x14ac:dyDescent="0.2">
      <c r="A187" s="110" t="s">
        <v>104</v>
      </c>
      <c r="B187" s="144">
        <v>26.9</v>
      </c>
      <c r="C187" s="112" t="s">
        <v>75</v>
      </c>
    </row>
    <row r="188" spans="1:3" x14ac:dyDescent="0.2">
      <c r="A188" s="110" t="s">
        <v>107</v>
      </c>
      <c r="B188" s="144">
        <v>37.1</v>
      </c>
      <c r="C188" s="112" t="s">
        <v>53</v>
      </c>
    </row>
    <row r="189" spans="1:3" x14ac:dyDescent="0.2">
      <c r="A189" s="110" t="s">
        <v>108</v>
      </c>
      <c r="B189" s="144">
        <v>79</v>
      </c>
      <c r="C189" s="112" t="s">
        <v>75</v>
      </c>
    </row>
    <row r="190" spans="1:3" x14ac:dyDescent="0.2">
      <c r="A190" s="110" t="s">
        <v>82</v>
      </c>
      <c r="B190" s="144">
        <v>53.2</v>
      </c>
      <c r="C190" s="112" t="s">
        <v>75</v>
      </c>
    </row>
    <row r="191" spans="1:3" x14ac:dyDescent="0.2">
      <c r="A191" s="110" t="s">
        <v>109</v>
      </c>
      <c r="B191" s="144">
        <v>33.799999999999997</v>
      </c>
      <c r="C191" s="112" t="s">
        <v>75</v>
      </c>
    </row>
    <row r="192" spans="1:3" x14ac:dyDescent="0.2">
      <c r="A192" s="110" t="s">
        <v>115</v>
      </c>
      <c r="B192" s="144">
        <v>71.7</v>
      </c>
      <c r="C192" s="112" t="s">
        <v>75</v>
      </c>
    </row>
    <row r="193" spans="1:3" x14ac:dyDescent="0.2">
      <c r="A193" s="110" t="s">
        <v>32</v>
      </c>
      <c r="B193" s="144">
        <v>46.8</v>
      </c>
      <c r="C193" s="112" t="s">
        <v>75</v>
      </c>
    </row>
    <row r="194" spans="1:3" x14ac:dyDescent="0.2">
      <c r="A194" s="110" t="s">
        <v>37</v>
      </c>
      <c r="B194" s="144">
        <v>52.3</v>
      </c>
      <c r="C194" s="112" t="s">
        <v>75</v>
      </c>
    </row>
    <row r="195" spans="1:3" x14ac:dyDescent="0.2">
      <c r="A195" s="110" t="s">
        <v>111</v>
      </c>
      <c r="B195" s="144">
        <v>50</v>
      </c>
      <c r="C195" s="112" t="s">
        <v>75</v>
      </c>
    </row>
    <row r="196" spans="1:3" x14ac:dyDescent="0.2">
      <c r="A196" s="110" t="s">
        <v>81</v>
      </c>
      <c r="B196" s="144">
        <v>25.3</v>
      </c>
      <c r="C196" s="112" t="s">
        <v>53</v>
      </c>
    </row>
    <row r="197" spans="1:3" x14ac:dyDescent="0.2">
      <c r="A197" s="110" t="s">
        <v>117</v>
      </c>
      <c r="B197" s="144">
        <v>37.1</v>
      </c>
      <c r="C197" s="112" t="s">
        <v>75</v>
      </c>
    </row>
    <row r="198" spans="1:3" x14ac:dyDescent="0.2">
      <c r="A198" s="110" t="s">
        <v>106</v>
      </c>
      <c r="B198" s="144">
        <v>55.6</v>
      </c>
      <c r="C198" s="112" t="s">
        <v>75</v>
      </c>
    </row>
    <row r="199" spans="1:3" x14ac:dyDescent="0.2">
      <c r="A199" s="110" t="s">
        <v>119</v>
      </c>
      <c r="B199" s="144">
        <v>17.2</v>
      </c>
      <c r="C199" s="112" t="s">
        <v>75</v>
      </c>
    </row>
    <row r="200" spans="1:3" x14ac:dyDescent="0.2">
      <c r="A200" s="110" t="s">
        <v>120</v>
      </c>
      <c r="B200" s="144">
        <v>12.9</v>
      </c>
      <c r="C200" s="112" t="s">
        <v>53</v>
      </c>
    </row>
    <row r="201" spans="1:3" x14ac:dyDescent="0.2">
      <c r="A201" s="110" t="s">
        <v>121</v>
      </c>
      <c r="B201" s="144">
        <v>52.8</v>
      </c>
      <c r="C201" s="112" t="s">
        <v>75</v>
      </c>
    </row>
    <row r="202" spans="1:3" x14ac:dyDescent="0.2">
      <c r="A202" s="110" t="s">
        <v>113</v>
      </c>
      <c r="B202" s="144">
        <v>18.8</v>
      </c>
      <c r="C202" s="112" t="s">
        <v>75</v>
      </c>
    </row>
    <row r="203" spans="1:3" x14ac:dyDescent="0.2">
      <c r="A203" s="110" t="s">
        <v>122</v>
      </c>
      <c r="B203" s="144">
        <v>51.9</v>
      </c>
      <c r="C203" s="112" t="s">
        <v>75</v>
      </c>
    </row>
    <row r="204" spans="1:3" x14ac:dyDescent="0.2">
      <c r="A204" s="110" t="s">
        <v>124</v>
      </c>
      <c r="B204" s="144">
        <v>68.5</v>
      </c>
      <c r="C204" s="112" t="s">
        <v>75</v>
      </c>
    </row>
    <row r="205" spans="1:3" x14ac:dyDescent="0.2">
      <c r="A205" s="110" t="s">
        <v>99</v>
      </c>
      <c r="B205" s="144">
        <v>50.6</v>
      </c>
      <c r="C205" s="112" t="s">
        <v>75</v>
      </c>
    </row>
    <row r="206" spans="1:3" x14ac:dyDescent="0.2">
      <c r="A206" s="110" t="s">
        <v>126</v>
      </c>
      <c r="B206" s="144">
        <v>21.2</v>
      </c>
      <c r="C206" s="112" t="s">
        <v>75</v>
      </c>
    </row>
    <row r="207" spans="1:3" x14ac:dyDescent="0.2">
      <c r="A207" s="110" t="s">
        <v>127</v>
      </c>
      <c r="B207" s="144">
        <v>23.2</v>
      </c>
      <c r="C207" s="112" t="s">
        <v>75</v>
      </c>
    </row>
    <row r="208" spans="1:3" x14ac:dyDescent="0.2">
      <c r="A208" s="110" t="s">
        <v>129</v>
      </c>
      <c r="B208" s="144">
        <v>24.6</v>
      </c>
      <c r="C208" s="112" t="s">
        <v>75</v>
      </c>
    </row>
    <row r="209" spans="1:6" x14ac:dyDescent="0.2">
      <c r="A209" s="110" t="s">
        <v>36</v>
      </c>
      <c r="B209" s="144">
        <v>45.9</v>
      </c>
      <c r="C209" s="112" t="s">
        <v>75</v>
      </c>
    </row>
    <row r="210" spans="1:6" x14ac:dyDescent="0.2">
      <c r="A210" s="110" t="s">
        <v>35</v>
      </c>
      <c r="B210" s="144">
        <v>17.2</v>
      </c>
      <c r="C210" s="112" t="s">
        <v>75</v>
      </c>
    </row>
    <row r="211" spans="1:6" x14ac:dyDescent="0.2">
      <c r="A211" s="110" t="s">
        <v>110</v>
      </c>
      <c r="B211" s="144">
        <v>60.8</v>
      </c>
      <c r="C211" s="112" t="s">
        <v>75</v>
      </c>
    </row>
    <row r="212" spans="1:6" x14ac:dyDescent="0.2">
      <c r="A212" s="110" t="s">
        <v>38</v>
      </c>
      <c r="B212" s="144">
        <v>87.2</v>
      </c>
      <c r="C212" s="112" t="s">
        <v>75</v>
      </c>
    </row>
    <row r="213" spans="1:6" x14ac:dyDescent="0.2">
      <c r="A213" s="110" t="s">
        <v>95</v>
      </c>
      <c r="B213" s="144">
        <v>79.599999999999994</v>
      </c>
      <c r="C213" s="112" t="s">
        <v>75</v>
      </c>
    </row>
    <row r="214" spans="1:6" x14ac:dyDescent="0.2">
      <c r="A214" s="110" t="s">
        <v>114</v>
      </c>
      <c r="B214" s="144">
        <v>59.5</v>
      </c>
      <c r="C214" s="112" t="s">
        <v>53</v>
      </c>
    </row>
    <row r="215" spans="1:6" x14ac:dyDescent="0.2">
      <c r="A215" s="110" t="s">
        <v>125</v>
      </c>
      <c r="B215" s="144">
        <v>85.6</v>
      </c>
      <c r="C215" s="112" t="s">
        <v>75</v>
      </c>
    </row>
    <row r="216" spans="1:6" x14ac:dyDescent="0.2">
      <c r="A216" s="110" t="s">
        <v>39</v>
      </c>
      <c r="B216" s="144">
        <v>81.400000000000006</v>
      </c>
      <c r="C216" s="112" t="s">
        <v>75</v>
      </c>
    </row>
    <row r="217" spans="1:6" x14ac:dyDescent="0.2">
      <c r="A217" s="110" t="s">
        <v>123</v>
      </c>
      <c r="B217" s="144">
        <v>23.3</v>
      </c>
      <c r="C217" s="112" t="s">
        <v>75</v>
      </c>
    </row>
    <row r="219" spans="1:6" x14ac:dyDescent="0.2">
      <c r="A219" s="18" t="s">
        <v>54</v>
      </c>
      <c r="E219" s="18" t="s">
        <v>55</v>
      </c>
    </row>
    <row r="220" spans="1:6" x14ac:dyDescent="0.2">
      <c r="A220" s="18" t="s">
        <v>56</v>
      </c>
      <c r="B220" s="18" t="s">
        <v>57</v>
      </c>
      <c r="E220" s="18" t="s">
        <v>58</v>
      </c>
      <c r="F220" s="18" t="s">
        <v>59</v>
      </c>
    </row>
    <row r="221" spans="1:6" x14ac:dyDescent="0.2">
      <c r="A221" s="18" t="s">
        <v>60</v>
      </c>
      <c r="B221" s="18" t="s">
        <v>61</v>
      </c>
    </row>
    <row r="222" spans="1:6" x14ac:dyDescent="0.2">
      <c r="A222" s="18" t="s">
        <v>62</v>
      </c>
      <c r="B222" s="18" t="s">
        <v>63</v>
      </c>
    </row>
    <row r="223" spans="1:6" x14ac:dyDescent="0.2">
      <c r="A223" s="18" t="s">
        <v>64</v>
      </c>
      <c r="B223" s="18" t="s">
        <v>65</v>
      </c>
    </row>
    <row r="224" spans="1:6" x14ac:dyDescent="0.2">
      <c r="A224" s="18" t="s">
        <v>66</v>
      </c>
      <c r="B224" s="18" t="s">
        <v>67</v>
      </c>
    </row>
    <row r="225" spans="1:3" x14ac:dyDescent="0.2">
      <c r="A225" s="18" t="s">
        <v>68</v>
      </c>
      <c r="B225" s="18" t="s">
        <v>50</v>
      </c>
    </row>
    <row r="226" spans="1:3" x14ac:dyDescent="0.2">
      <c r="A226" s="18" t="s">
        <v>141</v>
      </c>
      <c r="B226" s="18" t="s">
        <v>142</v>
      </c>
    </row>
    <row r="227" spans="1:3" x14ac:dyDescent="0.2">
      <c r="A227" s="18" t="s">
        <v>143</v>
      </c>
      <c r="B227" s="18" t="s">
        <v>144</v>
      </c>
    </row>
    <row r="228" spans="1:3" x14ac:dyDescent="0.2">
      <c r="A228" s="18" t="s">
        <v>145</v>
      </c>
      <c r="B228" s="18" t="s">
        <v>146</v>
      </c>
    </row>
    <row r="229" spans="1:3" x14ac:dyDescent="0.2">
      <c r="A229" s="18" t="s">
        <v>147</v>
      </c>
      <c r="B229" s="18" t="s">
        <v>148</v>
      </c>
    </row>
    <row r="230" spans="1:3" x14ac:dyDescent="0.2">
      <c r="A230" s="18" t="s">
        <v>53</v>
      </c>
      <c r="B230" s="18" t="s">
        <v>149</v>
      </c>
    </row>
    <row r="231" spans="1:3" x14ac:dyDescent="0.2">
      <c r="A231" s="18" t="s">
        <v>150</v>
      </c>
      <c r="B231" s="18" t="s">
        <v>71</v>
      </c>
    </row>
    <row r="233" spans="1:3" x14ac:dyDescent="0.2">
      <c r="A233" s="18" t="s">
        <v>166</v>
      </c>
      <c r="B233" s="18" t="s">
        <v>73</v>
      </c>
    </row>
    <row r="234" spans="1:3" x14ac:dyDescent="0.2">
      <c r="A234" s="18" t="s">
        <v>168</v>
      </c>
      <c r="B234" s="18" t="s">
        <v>470</v>
      </c>
    </row>
    <row r="235" spans="1:3" x14ac:dyDescent="0.2">
      <c r="A235" s="18" t="s">
        <v>169</v>
      </c>
      <c r="B235" s="18" t="s">
        <v>89</v>
      </c>
    </row>
    <row r="236" spans="1:3" x14ac:dyDescent="0.2">
      <c r="A236" s="18" t="s">
        <v>170</v>
      </c>
      <c r="B236" s="18" t="s">
        <v>210</v>
      </c>
    </row>
    <row r="237" spans="1:3" x14ac:dyDescent="0.2">
      <c r="A237" s="18" t="s">
        <v>172</v>
      </c>
      <c r="B237" s="18" t="s">
        <v>173</v>
      </c>
    </row>
    <row r="239" spans="1:3" x14ac:dyDescent="0.2">
      <c r="A239" s="110" t="s">
        <v>174</v>
      </c>
      <c r="B239" s="110" t="s">
        <v>175</v>
      </c>
      <c r="C239" s="110" t="s">
        <v>51</v>
      </c>
    </row>
    <row r="240" spans="1:3" x14ac:dyDescent="0.2">
      <c r="A240" s="110" t="s">
        <v>6</v>
      </c>
      <c r="B240" s="144">
        <v>36.700000000000003</v>
      </c>
      <c r="C240" s="112" t="s">
        <v>75</v>
      </c>
    </row>
    <row r="241" spans="1:3" x14ac:dyDescent="0.2">
      <c r="A241" s="110" t="s">
        <v>102</v>
      </c>
      <c r="B241" s="144">
        <v>27.7</v>
      </c>
      <c r="C241" s="112" t="s">
        <v>75</v>
      </c>
    </row>
    <row r="242" spans="1:3" x14ac:dyDescent="0.2">
      <c r="A242" s="110" t="s">
        <v>104</v>
      </c>
      <c r="B242" s="144">
        <v>58.1</v>
      </c>
      <c r="C242" s="112" t="s">
        <v>75</v>
      </c>
    </row>
    <row r="243" spans="1:3" x14ac:dyDescent="0.2">
      <c r="A243" s="110" t="s">
        <v>107</v>
      </c>
      <c r="B243" s="144">
        <v>50.2</v>
      </c>
      <c r="C243" s="112" t="s">
        <v>53</v>
      </c>
    </row>
    <row r="244" spans="1:3" x14ac:dyDescent="0.2">
      <c r="A244" s="110" t="s">
        <v>108</v>
      </c>
      <c r="B244" s="144">
        <v>18.8</v>
      </c>
      <c r="C244" s="112" t="s">
        <v>75</v>
      </c>
    </row>
    <row r="245" spans="1:3" x14ac:dyDescent="0.2">
      <c r="A245" s="110" t="s">
        <v>82</v>
      </c>
      <c r="B245" s="144">
        <v>37.700000000000003</v>
      </c>
      <c r="C245" s="112" t="s">
        <v>75</v>
      </c>
    </row>
    <row r="246" spans="1:3" x14ac:dyDescent="0.2">
      <c r="A246" s="110" t="s">
        <v>109</v>
      </c>
      <c r="B246" s="144">
        <v>47</v>
      </c>
      <c r="C246" s="112" t="s">
        <v>75</v>
      </c>
    </row>
    <row r="247" spans="1:3" x14ac:dyDescent="0.2">
      <c r="A247" s="110" t="s">
        <v>115</v>
      </c>
      <c r="B247" s="144">
        <v>20.6</v>
      </c>
      <c r="C247" s="112" t="s">
        <v>75</v>
      </c>
    </row>
    <row r="248" spans="1:3" x14ac:dyDescent="0.2">
      <c r="A248" s="110" t="s">
        <v>32</v>
      </c>
      <c r="B248" s="144">
        <v>30.3</v>
      </c>
      <c r="C248" s="112" t="s">
        <v>75</v>
      </c>
    </row>
    <row r="249" spans="1:3" x14ac:dyDescent="0.2">
      <c r="A249" s="110" t="s">
        <v>37</v>
      </c>
      <c r="B249" s="144">
        <v>29.2</v>
      </c>
      <c r="C249" s="112" t="s">
        <v>75</v>
      </c>
    </row>
    <row r="250" spans="1:3" x14ac:dyDescent="0.2">
      <c r="A250" s="110" t="s">
        <v>111</v>
      </c>
      <c r="B250" s="144">
        <v>39.700000000000003</v>
      </c>
      <c r="C250" s="112" t="s">
        <v>75</v>
      </c>
    </row>
    <row r="251" spans="1:3" x14ac:dyDescent="0.2">
      <c r="A251" s="110" t="s">
        <v>81</v>
      </c>
      <c r="B251" s="144">
        <v>38.5</v>
      </c>
      <c r="C251" s="112" t="s">
        <v>53</v>
      </c>
    </row>
    <row r="252" spans="1:3" x14ac:dyDescent="0.2">
      <c r="A252" s="110" t="s">
        <v>117</v>
      </c>
      <c r="B252" s="144">
        <v>37.5</v>
      </c>
      <c r="C252" s="112" t="s">
        <v>75</v>
      </c>
    </row>
    <row r="253" spans="1:3" x14ac:dyDescent="0.2">
      <c r="A253" s="110" t="s">
        <v>106</v>
      </c>
      <c r="B253" s="144">
        <v>33.700000000000003</v>
      </c>
      <c r="C253" s="112" t="s">
        <v>75</v>
      </c>
    </row>
    <row r="254" spans="1:3" x14ac:dyDescent="0.2">
      <c r="A254" s="110" t="s">
        <v>119</v>
      </c>
      <c r="B254" s="144">
        <v>56.8</v>
      </c>
      <c r="C254" s="112" t="s">
        <v>75</v>
      </c>
    </row>
    <row r="255" spans="1:3" x14ac:dyDescent="0.2">
      <c r="A255" s="110" t="s">
        <v>120</v>
      </c>
      <c r="B255" s="144">
        <v>65.8</v>
      </c>
      <c r="C255" s="112" t="s">
        <v>53</v>
      </c>
    </row>
    <row r="256" spans="1:3" x14ac:dyDescent="0.2">
      <c r="A256" s="110" t="s">
        <v>121</v>
      </c>
      <c r="B256" s="144">
        <v>33.5</v>
      </c>
      <c r="C256" s="112" t="s">
        <v>75</v>
      </c>
    </row>
    <row r="257" spans="1:3" x14ac:dyDescent="0.2">
      <c r="A257" s="110" t="s">
        <v>113</v>
      </c>
      <c r="B257" s="144">
        <v>52.3</v>
      </c>
      <c r="C257" s="112" t="s">
        <v>75</v>
      </c>
    </row>
    <row r="258" spans="1:3" x14ac:dyDescent="0.2">
      <c r="A258" s="110" t="s">
        <v>122</v>
      </c>
      <c r="B258" s="144">
        <v>40.4</v>
      </c>
      <c r="C258" s="112" t="s">
        <v>75</v>
      </c>
    </row>
    <row r="259" spans="1:3" x14ac:dyDescent="0.2">
      <c r="A259" s="110" t="s">
        <v>124</v>
      </c>
      <c r="B259" s="144">
        <v>28.5</v>
      </c>
      <c r="C259" s="112" t="s">
        <v>75</v>
      </c>
    </row>
    <row r="260" spans="1:3" x14ac:dyDescent="0.2">
      <c r="A260" s="110" t="s">
        <v>99</v>
      </c>
      <c r="B260" s="144">
        <v>33.1</v>
      </c>
      <c r="C260" s="112" t="s">
        <v>75</v>
      </c>
    </row>
    <row r="261" spans="1:3" x14ac:dyDescent="0.2">
      <c r="A261" s="110" t="s">
        <v>126</v>
      </c>
      <c r="B261" s="144">
        <v>49.2</v>
      </c>
      <c r="C261" s="112" t="s">
        <v>75</v>
      </c>
    </row>
    <row r="262" spans="1:3" x14ac:dyDescent="0.2">
      <c r="A262" s="110" t="s">
        <v>127</v>
      </c>
      <c r="B262" s="144">
        <v>45.3</v>
      </c>
      <c r="C262" s="112" t="s">
        <v>75</v>
      </c>
    </row>
    <row r="263" spans="1:3" x14ac:dyDescent="0.2">
      <c r="A263" s="110" t="s">
        <v>129</v>
      </c>
      <c r="B263" s="144">
        <v>52.2</v>
      </c>
      <c r="C263" s="112" t="s">
        <v>75</v>
      </c>
    </row>
    <row r="264" spans="1:3" x14ac:dyDescent="0.2">
      <c r="A264" s="110" t="s">
        <v>36</v>
      </c>
      <c r="B264" s="144">
        <v>39.6</v>
      </c>
      <c r="C264" s="112" t="s">
        <v>75</v>
      </c>
    </row>
    <row r="265" spans="1:3" x14ac:dyDescent="0.2">
      <c r="A265" s="110" t="s">
        <v>35</v>
      </c>
      <c r="B265" s="144">
        <v>36.1</v>
      </c>
      <c r="C265" s="112" t="s">
        <v>75</v>
      </c>
    </row>
    <row r="266" spans="1:3" x14ac:dyDescent="0.2">
      <c r="A266" s="110" t="s">
        <v>110</v>
      </c>
      <c r="B266" s="144">
        <v>37.799999999999997</v>
      </c>
      <c r="C266" s="112" t="s">
        <v>75</v>
      </c>
    </row>
    <row r="267" spans="1:3" x14ac:dyDescent="0.2">
      <c r="A267" s="110" t="s">
        <v>38</v>
      </c>
      <c r="B267" s="144">
        <v>11.8</v>
      </c>
      <c r="C267" s="112" t="s">
        <v>75</v>
      </c>
    </row>
    <row r="268" spans="1:3" x14ac:dyDescent="0.2">
      <c r="A268" s="110" t="s">
        <v>95</v>
      </c>
      <c r="B268" s="144">
        <v>16.8</v>
      </c>
      <c r="C268" s="112" t="s">
        <v>75</v>
      </c>
    </row>
    <row r="269" spans="1:3" x14ac:dyDescent="0.2">
      <c r="A269" s="110" t="s">
        <v>114</v>
      </c>
      <c r="B269" s="144">
        <v>32</v>
      </c>
      <c r="C269" s="112" t="s">
        <v>53</v>
      </c>
    </row>
    <row r="270" spans="1:3" x14ac:dyDescent="0.2">
      <c r="A270" s="110" t="s">
        <v>125</v>
      </c>
      <c r="B270" s="144">
        <v>11.3</v>
      </c>
      <c r="C270" s="112" t="s">
        <v>75</v>
      </c>
    </row>
    <row r="271" spans="1:3" x14ac:dyDescent="0.2">
      <c r="A271" s="110" t="s">
        <v>39</v>
      </c>
      <c r="B271" s="144">
        <v>15</v>
      </c>
      <c r="C271" s="112" t="s">
        <v>75</v>
      </c>
    </row>
    <row r="272" spans="1:3" x14ac:dyDescent="0.2">
      <c r="A272" s="110" t="s">
        <v>123</v>
      </c>
      <c r="B272" s="144">
        <v>28.1</v>
      </c>
      <c r="C272" s="112" t="s">
        <v>75</v>
      </c>
    </row>
    <row r="274" spans="1:6" x14ac:dyDescent="0.2">
      <c r="A274" s="18" t="s">
        <v>54</v>
      </c>
      <c r="E274" s="18" t="s">
        <v>55</v>
      </c>
    </row>
    <row r="275" spans="1:6" x14ac:dyDescent="0.2">
      <c r="A275" s="18" t="s">
        <v>56</v>
      </c>
      <c r="B275" s="18" t="s">
        <v>57</v>
      </c>
      <c r="E275" s="18" t="s">
        <v>58</v>
      </c>
      <c r="F275" s="18" t="s">
        <v>59</v>
      </c>
    </row>
    <row r="276" spans="1:6" x14ac:dyDescent="0.2">
      <c r="A276" s="18" t="s">
        <v>60</v>
      </c>
      <c r="B276" s="18" t="s">
        <v>61</v>
      </c>
    </row>
    <row r="277" spans="1:6" x14ac:dyDescent="0.2">
      <c r="A277" s="18" t="s">
        <v>62</v>
      </c>
      <c r="B277" s="18" t="s">
        <v>63</v>
      </c>
    </row>
    <row r="278" spans="1:6" x14ac:dyDescent="0.2">
      <c r="A278" s="18" t="s">
        <v>64</v>
      </c>
      <c r="B278" s="18" t="s">
        <v>65</v>
      </c>
    </row>
    <row r="279" spans="1:6" x14ac:dyDescent="0.2">
      <c r="A279" s="18" t="s">
        <v>66</v>
      </c>
      <c r="B279" s="18" t="s">
        <v>67</v>
      </c>
    </row>
    <row r="280" spans="1:6" x14ac:dyDescent="0.2">
      <c r="A280" s="18" t="s">
        <v>68</v>
      </c>
      <c r="B280" s="18" t="s">
        <v>50</v>
      </c>
    </row>
    <row r="281" spans="1:6" x14ac:dyDescent="0.2">
      <c r="A281" s="18" t="s">
        <v>141</v>
      </c>
      <c r="B281" s="18" t="s">
        <v>142</v>
      </c>
    </row>
    <row r="282" spans="1:6" x14ac:dyDescent="0.2">
      <c r="A282" s="18" t="s">
        <v>143</v>
      </c>
      <c r="B282" s="18" t="s">
        <v>144</v>
      </c>
    </row>
    <row r="283" spans="1:6" x14ac:dyDescent="0.2">
      <c r="A283" s="18" t="s">
        <v>145</v>
      </c>
      <c r="B283" s="18" t="s">
        <v>146</v>
      </c>
    </row>
    <row r="284" spans="1:6" x14ac:dyDescent="0.2">
      <c r="A284" s="18" t="s">
        <v>147</v>
      </c>
      <c r="B284" s="18" t="s">
        <v>148</v>
      </c>
    </row>
    <row r="285" spans="1:6" x14ac:dyDescent="0.2">
      <c r="A285" s="18" t="s">
        <v>53</v>
      </c>
      <c r="B285" s="18" t="s">
        <v>149</v>
      </c>
    </row>
    <row r="286" spans="1:6" x14ac:dyDescent="0.2">
      <c r="A286" s="18" t="s">
        <v>150</v>
      </c>
      <c r="B286" s="18" t="s">
        <v>71</v>
      </c>
    </row>
    <row r="288" spans="1:6" x14ac:dyDescent="0.2">
      <c r="A288" s="18" t="s">
        <v>166</v>
      </c>
      <c r="B288" s="18" t="s">
        <v>73</v>
      </c>
    </row>
    <row r="289" spans="1:3" x14ac:dyDescent="0.2">
      <c r="A289" s="18" t="s">
        <v>168</v>
      </c>
      <c r="B289" s="18" t="s">
        <v>470</v>
      </c>
    </row>
    <row r="290" spans="1:3" x14ac:dyDescent="0.2">
      <c r="A290" s="18" t="s">
        <v>169</v>
      </c>
      <c r="B290" s="18" t="s">
        <v>89</v>
      </c>
    </row>
    <row r="291" spans="1:3" x14ac:dyDescent="0.2">
      <c r="A291" s="18" t="s">
        <v>170</v>
      </c>
      <c r="B291" s="18" t="s">
        <v>171</v>
      </c>
    </row>
    <row r="292" spans="1:3" x14ac:dyDescent="0.2">
      <c r="A292" s="18" t="s">
        <v>172</v>
      </c>
      <c r="B292" s="18" t="s">
        <v>173</v>
      </c>
    </row>
    <row r="294" spans="1:3" x14ac:dyDescent="0.2">
      <c r="A294" s="110" t="s">
        <v>174</v>
      </c>
      <c r="B294" s="110" t="s">
        <v>175</v>
      </c>
      <c r="C294" s="110" t="s">
        <v>51</v>
      </c>
    </row>
    <row r="295" spans="1:3" x14ac:dyDescent="0.2">
      <c r="A295" s="110" t="s">
        <v>6</v>
      </c>
      <c r="B295" s="144">
        <v>16.100000000000001</v>
      </c>
      <c r="C295" s="112" t="s">
        <v>75</v>
      </c>
    </row>
    <row r="296" spans="1:3" x14ac:dyDescent="0.2">
      <c r="A296" s="110" t="s">
        <v>102</v>
      </c>
      <c r="B296" s="144">
        <v>9.5</v>
      </c>
      <c r="C296" s="112" t="s">
        <v>75</v>
      </c>
    </row>
    <row r="297" spans="1:3" x14ac:dyDescent="0.2">
      <c r="A297" s="110" t="s">
        <v>104</v>
      </c>
      <c r="B297" s="144">
        <v>15.1</v>
      </c>
      <c r="C297" s="112" t="s">
        <v>75</v>
      </c>
    </row>
    <row r="298" spans="1:3" x14ac:dyDescent="0.2">
      <c r="A298" s="110" t="s">
        <v>107</v>
      </c>
      <c r="B298" s="144">
        <v>12.7</v>
      </c>
      <c r="C298" s="112" t="s">
        <v>53</v>
      </c>
    </row>
    <row r="299" spans="1:3" x14ac:dyDescent="0.2">
      <c r="A299" s="110" t="s">
        <v>108</v>
      </c>
      <c r="B299" s="144">
        <v>2.2000000000000002</v>
      </c>
      <c r="C299" s="112" t="s">
        <v>75</v>
      </c>
    </row>
    <row r="300" spans="1:3" x14ac:dyDescent="0.2">
      <c r="A300" s="110" t="s">
        <v>82</v>
      </c>
      <c r="B300" s="144">
        <v>9.1</v>
      </c>
      <c r="C300" s="112" t="s">
        <v>75</v>
      </c>
    </row>
    <row r="301" spans="1:3" x14ac:dyDescent="0.2">
      <c r="A301" s="110" t="s">
        <v>109</v>
      </c>
      <c r="B301" s="144">
        <v>19.2</v>
      </c>
      <c r="C301" s="112" t="s">
        <v>75</v>
      </c>
    </row>
    <row r="302" spans="1:3" x14ac:dyDescent="0.2">
      <c r="A302" s="110" t="s">
        <v>115</v>
      </c>
      <c r="B302" s="144">
        <v>7.7</v>
      </c>
      <c r="C302" s="112" t="s">
        <v>75</v>
      </c>
    </row>
    <row r="303" spans="1:3" x14ac:dyDescent="0.2">
      <c r="A303" s="110" t="s">
        <v>32</v>
      </c>
      <c r="B303" s="144">
        <v>22.9</v>
      </c>
      <c r="C303" s="112" t="s">
        <v>75</v>
      </c>
    </row>
    <row r="304" spans="1:3" x14ac:dyDescent="0.2">
      <c r="A304" s="110" t="s">
        <v>37</v>
      </c>
      <c r="B304" s="144">
        <v>18.399999999999999</v>
      </c>
      <c r="C304" s="112" t="s">
        <v>75</v>
      </c>
    </row>
    <row r="305" spans="1:3" x14ac:dyDescent="0.2">
      <c r="A305" s="110" t="s">
        <v>111</v>
      </c>
      <c r="B305" s="144">
        <v>10.3</v>
      </c>
      <c r="C305" s="112" t="s">
        <v>75</v>
      </c>
    </row>
    <row r="306" spans="1:3" x14ac:dyDescent="0.2">
      <c r="A306" s="110" t="s">
        <v>81</v>
      </c>
      <c r="B306" s="144">
        <v>36.200000000000003</v>
      </c>
      <c r="C306" s="112" t="s">
        <v>53</v>
      </c>
    </row>
    <row r="307" spans="1:3" x14ac:dyDescent="0.2">
      <c r="A307" s="110" t="s">
        <v>117</v>
      </c>
      <c r="B307" s="144">
        <v>25.4</v>
      </c>
      <c r="C307" s="112" t="s">
        <v>75</v>
      </c>
    </row>
    <row r="308" spans="1:3" x14ac:dyDescent="0.2">
      <c r="A308" s="110" t="s">
        <v>106</v>
      </c>
      <c r="B308" s="144">
        <v>10.7</v>
      </c>
      <c r="C308" s="112" t="s">
        <v>75</v>
      </c>
    </row>
    <row r="309" spans="1:3" x14ac:dyDescent="0.2">
      <c r="A309" s="110" t="s">
        <v>119</v>
      </c>
      <c r="B309" s="144">
        <v>26</v>
      </c>
      <c r="C309" s="112" t="s">
        <v>75</v>
      </c>
    </row>
    <row r="310" spans="1:3" x14ac:dyDescent="0.2">
      <c r="A310" s="110" t="s">
        <v>120</v>
      </c>
      <c r="B310" s="144">
        <v>21.4</v>
      </c>
      <c r="C310" s="112" t="s">
        <v>53</v>
      </c>
    </row>
    <row r="311" spans="1:3" x14ac:dyDescent="0.2">
      <c r="A311" s="110" t="s">
        <v>121</v>
      </c>
      <c r="B311" s="144">
        <v>13.7</v>
      </c>
      <c r="C311" s="112" t="s">
        <v>75</v>
      </c>
    </row>
    <row r="312" spans="1:3" x14ac:dyDescent="0.2">
      <c r="A312" s="110" t="s">
        <v>113</v>
      </c>
      <c r="B312" s="144">
        <v>28.9</v>
      </c>
      <c r="C312" s="112" t="s">
        <v>75</v>
      </c>
    </row>
    <row r="313" spans="1:3" x14ac:dyDescent="0.2">
      <c r="A313" s="110" t="s">
        <v>122</v>
      </c>
      <c r="B313" s="144">
        <v>7.6</v>
      </c>
      <c r="C313" s="112" t="s">
        <v>75</v>
      </c>
    </row>
    <row r="314" spans="1:3" x14ac:dyDescent="0.2">
      <c r="A314" s="110" t="s">
        <v>124</v>
      </c>
      <c r="B314" s="144">
        <v>2.9</v>
      </c>
      <c r="C314" s="112" t="s">
        <v>75</v>
      </c>
    </row>
    <row r="315" spans="1:3" x14ac:dyDescent="0.2">
      <c r="A315" s="110" t="s">
        <v>99</v>
      </c>
      <c r="B315" s="144">
        <v>16.3</v>
      </c>
      <c r="C315" s="112" t="s">
        <v>75</v>
      </c>
    </row>
    <row r="316" spans="1:3" x14ac:dyDescent="0.2">
      <c r="A316" s="110" t="s">
        <v>126</v>
      </c>
      <c r="B316" s="144">
        <v>29.6</v>
      </c>
      <c r="C316" s="112" t="s">
        <v>75</v>
      </c>
    </row>
    <row r="317" spans="1:3" x14ac:dyDescent="0.2">
      <c r="A317" s="110" t="s">
        <v>127</v>
      </c>
      <c r="B317" s="144">
        <v>31.4</v>
      </c>
      <c r="C317" s="112" t="s">
        <v>75</v>
      </c>
    </row>
    <row r="318" spans="1:3" x14ac:dyDescent="0.2">
      <c r="A318" s="110" t="s">
        <v>129</v>
      </c>
      <c r="B318" s="144">
        <v>23.2</v>
      </c>
      <c r="C318" s="112" t="s">
        <v>75</v>
      </c>
    </row>
    <row r="319" spans="1:3" x14ac:dyDescent="0.2">
      <c r="A319" s="110" t="s">
        <v>36</v>
      </c>
      <c r="B319" s="144">
        <v>14.6</v>
      </c>
      <c r="C319" s="112" t="s">
        <v>75</v>
      </c>
    </row>
    <row r="320" spans="1:3" x14ac:dyDescent="0.2">
      <c r="A320" s="110" t="s">
        <v>35</v>
      </c>
      <c r="B320" s="144">
        <v>46.7</v>
      </c>
      <c r="C320" s="112" t="s">
        <v>75</v>
      </c>
    </row>
    <row r="321" spans="1:6" x14ac:dyDescent="0.2">
      <c r="A321" s="110" t="s">
        <v>110</v>
      </c>
      <c r="B321" s="144">
        <v>1.5</v>
      </c>
      <c r="C321" s="112" t="s">
        <v>75</v>
      </c>
    </row>
    <row r="322" spans="1:6" x14ac:dyDescent="0.2">
      <c r="A322" s="110" t="s">
        <v>38</v>
      </c>
      <c r="B322" s="144">
        <v>1</v>
      </c>
      <c r="C322" s="112" t="s">
        <v>75</v>
      </c>
    </row>
    <row r="323" spans="1:6" x14ac:dyDescent="0.2">
      <c r="A323" s="110" t="s">
        <v>95</v>
      </c>
      <c r="B323" s="144">
        <v>3.7</v>
      </c>
      <c r="C323" s="112" t="s">
        <v>75</v>
      </c>
    </row>
    <row r="324" spans="1:6" x14ac:dyDescent="0.2">
      <c r="A324" s="110" t="s">
        <v>114</v>
      </c>
      <c r="B324" s="144">
        <v>8.5</v>
      </c>
      <c r="C324" s="112" t="s">
        <v>53</v>
      </c>
    </row>
    <row r="325" spans="1:6" x14ac:dyDescent="0.2">
      <c r="A325" s="110" t="s">
        <v>125</v>
      </c>
      <c r="B325" s="144">
        <v>3.1</v>
      </c>
      <c r="C325" s="112" t="s">
        <v>75</v>
      </c>
    </row>
    <row r="326" spans="1:6" x14ac:dyDescent="0.2">
      <c r="A326" s="110" t="s">
        <v>39</v>
      </c>
      <c r="B326" s="144">
        <v>3.5</v>
      </c>
      <c r="C326" s="112" t="s">
        <v>75</v>
      </c>
    </row>
    <row r="327" spans="1:6" x14ac:dyDescent="0.2">
      <c r="A327" s="110" t="s">
        <v>123</v>
      </c>
      <c r="B327" s="144">
        <v>48.6</v>
      </c>
      <c r="C327" s="112" t="s">
        <v>75</v>
      </c>
    </row>
    <row r="329" spans="1:6" x14ac:dyDescent="0.2">
      <c r="A329" s="18" t="s">
        <v>54</v>
      </c>
      <c r="E329" s="18" t="s">
        <v>55</v>
      </c>
    </row>
    <row r="330" spans="1:6" x14ac:dyDescent="0.2">
      <c r="A330" s="18" t="s">
        <v>56</v>
      </c>
      <c r="B330" s="18" t="s">
        <v>57</v>
      </c>
      <c r="E330" s="18" t="s">
        <v>58</v>
      </c>
      <c r="F330" s="18" t="s">
        <v>59</v>
      </c>
    </row>
    <row r="331" spans="1:6" x14ac:dyDescent="0.2">
      <c r="A331" s="18" t="s">
        <v>60</v>
      </c>
      <c r="B331" s="18" t="s">
        <v>61</v>
      </c>
    </row>
    <row r="332" spans="1:6" x14ac:dyDescent="0.2">
      <c r="A332" s="18" t="s">
        <v>62</v>
      </c>
      <c r="B332" s="18" t="s">
        <v>63</v>
      </c>
    </row>
    <row r="333" spans="1:6" x14ac:dyDescent="0.2">
      <c r="A333" s="18" t="s">
        <v>64</v>
      </c>
      <c r="B333" s="18" t="s">
        <v>65</v>
      </c>
    </row>
    <row r="334" spans="1:6" x14ac:dyDescent="0.2">
      <c r="A334" s="18" t="s">
        <v>66</v>
      </c>
      <c r="B334" s="18" t="s">
        <v>67</v>
      </c>
    </row>
    <row r="335" spans="1:6" x14ac:dyDescent="0.2">
      <c r="A335" s="18" t="s">
        <v>68</v>
      </c>
      <c r="B335" s="18" t="s">
        <v>50</v>
      </c>
    </row>
    <row r="336" spans="1:6" x14ac:dyDescent="0.2">
      <c r="A336" s="18" t="s">
        <v>141</v>
      </c>
      <c r="B336" s="18" t="s">
        <v>142</v>
      </c>
    </row>
    <row r="337" spans="1:2" x14ac:dyDescent="0.2">
      <c r="A337" s="18" t="s">
        <v>143</v>
      </c>
      <c r="B337" s="18" t="s">
        <v>144</v>
      </c>
    </row>
    <row r="338" spans="1:2" x14ac:dyDescent="0.2">
      <c r="A338" s="18" t="s">
        <v>145</v>
      </c>
      <c r="B338" s="18" t="s">
        <v>146</v>
      </c>
    </row>
    <row r="339" spans="1:2" x14ac:dyDescent="0.2">
      <c r="A339" s="18" t="s">
        <v>147</v>
      </c>
      <c r="B339" s="18" t="s">
        <v>148</v>
      </c>
    </row>
    <row r="340" spans="1:2" x14ac:dyDescent="0.2">
      <c r="A340" s="18" t="s">
        <v>53</v>
      </c>
      <c r="B340" s="18" t="s">
        <v>149</v>
      </c>
    </row>
    <row r="341" spans="1:2" x14ac:dyDescent="0.2">
      <c r="A341" s="18" t="s">
        <v>150</v>
      </c>
      <c r="B341" s="18" t="s">
        <v>71</v>
      </c>
    </row>
  </sheetData>
  <mergeCells count="2">
    <mergeCell ref="G13:N15"/>
    <mergeCell ref="G44:N45"/>
  </mergeCells>
  <phoneticPr fontId="7" type="noConversion"/>
  <pageMargins left="0.75" right="0.75" top="1" bottom="1" header="0.5" footer="0.5"/>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0"/>
  <sheetViews>
    <sheetView topLeftCell="A26" workbookViewId="0">
      <selection activeCell="N51" sqref="N51"/>
    </sheetView>
  </sheetViews>
  <sheetFormatPr baseColWidth="10" defaultColWidth="10.1640625" defaultRowHeight="15" x14ac:dyDescent="0.2"/>
  <cols>
    <col min="1" max="16384" width="10.1640625" style="131"/>
  </cols>
  <sheetData>
    <row r="1" spans="1:3" x14ac:dyDescent="0.2">
      <c r="A1" s="18" t="s">
        <v>504</v>
      </c>
    </row>
    <row r="3" spans="1:3" x14ac:dyDescent="0.2">
      <c r="A3" s="18" t="s">
        <v>306</v>
      </c>
      <c r="B3" s="147">
        <v>41718.687615740739</v>
      </c>
    </row>
    <row r="4" spans="1:3" x14ac:dyDescent="0.2">
      <c r="A4" s="18" t="s">
        <v>161</v>
      </c>
      <c r="B4" s="147">
        <v>42182.339075347219</v>
      </c>
    </row>
    <row r="5" spans="1:3" x14ac:dyDescent="0.2">
      <c r="A5" s="18" t="s">
        <v>162</v>
      </c>
      <c r="B5" s="18" t="s">
        <v>163</v>
      </c>
    </row>
    <row r="6" spans="1:3" x14ac:dyDescent="0.2">
      <c r="A6" s="18" t="s">
        <v>164</v>
      </c>
      <c r="B6" s="18" t="s">
        <v>165</v>
      </c>
    </row>
    <row r="7" spans="1:3" x14ac:dyDescent="0.2">
      <c r="A7" s="18" t="s">
        <v>505</v>
      </c>
      <c r="B7" s="18" t="s">
        <v>506</v>
      </c>
    </row>
    <row r="8" spans="1:3" x14ac:dyDescent="0.2">
      <c r="A8" s="18" t="s">
        <v>168</v>
      </c>
      <c r="B8" s="18" t="s">
        <v>507</v>
      </c>
    </row>
    <row r="9" spans="1:3" x14ac:dyDescent="0.2">
      <c r="A9" s="18" t="s">
        <v>169</v>
      </c>
      <c r="B9" s="18" t="s">
        <v>89</v>
      </c>
    </row>
    <row r="11" spans="1:3" x14ac:dyDescent="0.2">
      <c r="A11" s="110" t="s">
        <v>508</v>
      </c>
      <c r="B11" s="110" t="s">
        <v>509</v>
      </c>
      <c r="C11" s="110" t="s">
        <v>51</v>
      </c>
    </row>
    <row r="12" spans="1:3" x14ac:dyDescent="0.2">
      <c r="A12" s="110" t="s">
        <v>102</v>
      </c>
      <c r="B12" s="148">
        <v>62</v>
      </c>
      <c r="C12" s="112" t="s">
        <v>53</v>
      </c>
    </row>
    <row r="13" spans="1:3" x14ac:dyDescent="0.2">
      <c r="A13" s="110" t="s">
        <v>104</v>
      </c>
      <c r="B13" s="149">
        <v>49.1</v>
      </c>
      <c r="C13" s="112" t="s">
        <v>75</v>
      </c>
    </row>
    <row r="14" spans="1:3" x14ac:dyDescent="0.2">
      <c r="A14" s="110" t="s">
        <v>107</v>
      </c>
      <c r="B14" s="149">
        <v>58.8</v>
      </c>
      <c r="C14" s="112" t="s">
        <v>75</v>
      </c>
    </row>
    <row r="15" spans="1:3" x14ac:dyDescent="0.2">
      <c r="A15" s="110" t="s">
        <v>32</v>
      </c>
      <c r="B15" s="149">
        <v>59.1</v>
      </c>
      <c r="C15" s="112" t="s">
        <v>75</v>
      </c>
    </row>
    <row r="16" spans="1:3" x14ac:dyDescent="0.2">
      <c r="A16" s="110" t="s">
        <v>37</v>
      </c>
      <c r="B16" s="149">
        <v>58.2</v>
      </c>
      <c r="C16" s="112" t="s">
        <v>75</v>
      </c>
    </row>
    <row r="17" spans="1:6" x14ac:dyDescent="0.2">
      <c r="A17" s="110" t="s">
        <v>106</v>
      </c>
      <c r="B17" s="149">
        <v>59.8</v>
      </c>
      <c r="C17" s="112" t="s">
        <v>75</v>
      </c>
    </row>
    <row r="18" spans="1:6" x14ac:dyDescent="0.2">
      <c r="A18" s="110" t="s">
        <v>119</v>
      </c>
      <c r="B18" s="149">
        <v>55.1</v>
      </c>
      <c r="C18" s="112" t="s">
        <v>75</v>
      </c>
    </row>
    <row r="19" spans="1:6" x14ac:dyDescent="0.2">
      <c r="A19" s="110" t="s">
        <v>113</v>
      </c>
      <c r="B19" s="149">
        <v>51.1</v>
      </c>
      <c r="C19" s="112" t="s">
        <v>75</v>
      </c>
    </row>
    <row r="20" spans="1:6" x14ac:dyDescent="0.2">
      <c r="A20" s="110" t="s">
        <v>122</v>
      </c>
      <c r="B20" s="149">
        <v>59.6</v>
      </c>
      <c r="C20" s="112" t="s">
        <v>75</v>
      </c>
    </row>
    <row r="21" spans="1:6" x14ac:dyDescent="0.2">
      <c r="A21" s="110" t="s">
        <v>99</v>
      </c>
      <c r="B21" s="149">
        <v>62.1</v>
      </c>
      <c r="C21" s="112" t="s">
        <v>75</v>
      </c>
    </row>
    <row r="22" spans="1:6" x14ac:dyDescent="0.2">
      <c r="A22" s="110" t="s">
        <v>126</v>
      </c>
      <c r="B22" s="149">
        <v>54.1</v>
      </c>
      <c r="C22" s="112" t="s">
        <v>75</v>
      </c>
    </row>
    <row r="23" spans="1:6" x14ac:dyDescent="0.2">
      <c r="A23" s="110" t="s">
        <v>129</v>
      </c>
      <c r="B23" s="148">
        <v>49</v>
      </c>
      <c r="C23" s="112" t="s">
        <v>75</v>
      </c>
    </row>
    <row r="24" spans="1:6" x14ac:dyDescent="0.2">
      <c r="A24" s="110" t="s">
        <v>36</v>
      </c>
      <c r="B24" s="149">
        <v>49.1</v>
      </c>
      <c r="C24" s="112" t="s">
        <v>75</v>
      </c>
    </row>
    <row r="25" spans="1:6" x14ac:dyDescent="0.2">
      <c r="A25" s="110" t="s">
        <v>35</v>
      </c>
      <c r="B25" s="149">
        <v>53.8</v>
      </c>
      <c r="C25" s="112" t="s">
        <v>75</v>
      </c>
    </row>
    <row r="26" spans="1:6" x14ac:dyDescent="0.2">
      <c r="A26" s="110" t="s">
        <v>41</v>
      </c>
      <c r="B26" s="148">
        <v>43</v>
      </c>
      <c r="C26" s="112" t="s">
        <v>75</v>
      </c>
    </row>
    <row r="28" spans="1:6" x14ac:dyDescent="0.2">
      <c r="A28" s="18" t="s">
        <v>54</v>
      </c>
      <c r="E28" s="18" t="s">
        <v>55</v>
      </c>
    </row>
    <row r="29" spans="1:6" x14ac:dyDescent="0.2">
      <c r="A29" s="18" t="s">
        <v>56</v>
      </c>
      <c r="B29" s="18" t="s">
        <v>57</v>
      </c>
      <c r="E29" s="18" t="s">
        <v>58</v>
      </c>
      <c r="F29" s="18" t="s">
        <v>59</v>
      </c>
    </row>
    <row r="30" spans="1:6" x14ac:dyDescent="0.2">
      <c r="A30" s="18" t="s">
        <v>60</v>
      </c>
      <c r="B30" s="18" t="s">
        <v>61</v>
      </c>
    </row>
    <row r="31" spans="1:6" x14ac:dyDescent="0.2">
      <c r="A31" s="18" t="s">
        <v>62</v>
      </c>
      <c r="B31" s="18" t="s">
        <v>63</v>
      </c>
    </row>
    <row r="32" spans="1:6" x14ac:dyDescent="0.2">
      <c r="A32" s="18" t="s">
        <v>64</v>
      </c>
      <c r="B32" s="18" t="s">
        <v>65</v>
      </c>
    </row>
    <row r="33" spans="1:16" x14ac:dyDescent="0.2">
      <c r="A33" s="18" t="s">
        <v>66</v>
      </c>
      <c r="B33" s="18" t="s">
        <v>67</v>
      </c>
    </row>
    <row r="34" spans="1:16" x14ac:dyDescent="0.2">
      <c r="A34" s="18" t="s">
        <v>68</v>
      </c>
      <c r="B34" s="18" t="s">
        <v>50</v>
      </c>
    </row>
    <row r="35" spans="1:16" x14ac:dyDescent="0.2">
      <c r="A35" s="18" t="s">
        <v>141</v>
      </c>
      <c r="B35" s="18" t="s">
        <v>142</v>
      </c>
    </row>
    <row r="36" spans="1:16" x14ac:dyDescent="0.2">
      <c r="A36" s="18" t="s">
        <v>143</v>
      </c>
      <c r="B36" s="18" t="s">
        <v>144</v>
      </c>
      <c r="H36" s="191" t="s">
        <v>3</v>
      </c>
      <c r="I36" s="192"/>
      <c r="J36" s="192"/>
      <c r="K36" s="192"/>
      <c r="L36" s="192"/>
      <c r="M36" s="192"/>
      <c r="N36" s="192"/>
      <c r="O36" s="192"/>
      <c r="P36" s="192"/>
    </row>
    <row r="37" spans="1:16" x14ac:dyDescent="0.2">
      <c r="A37" s="18" t="s">
        <v>145</v>
      </c>
      <c r="B37" s="18" t="s">
        <v>146</v>
      </c>
      <c r="H37" s="192"/>
      <c r="I37" s="192"/>
      <c r="J37" s="192"/>
      <c r="K37" s="192"/>
      <c r="L37" s="192"/>
      <c r="M37" s="192"/>
      <c r="N37" s="192"/>
      <c r="O37" s="192"/>
      <c r="P37" s="192"/>
    </row>
    <row r="38" spans="1:16" ht="37" customHeight="1" x14ac:dyDescent="0.2">
      <c r="A38" s="18" t="s">
        <v>147</v>
      </c>
      <c r="B38" s="18" t="s">
        <v>148</v>
      </c>
      <c r="H38" s="192"/>
      <c r="I38" s="192"/>
      <c r="J38" s="192"/>
      <c r="K38" s="192"/>
      <c r="L38" s="192"/>
      <c r="M38" s="192"/>
      <c r="N38" s="192"/>
      <c r="O38" s="192"/>
      <c r="P38" s="192"/>
    </row>
    <row r="39" spans="1:16" x14ac:dyDescent="0.2">
      <c r="A39" s="18" t="s">
        <v>53</v>
      </c>
      <c r="B39" s="18" t="s">
        <v>149</v>
      </c>
      <c r="H39" s="192"/>
      <c r="I39" s="192"/>
      <c r="J39" s="192"/>
      <c r="K39" s="192"/>
      <c r="L39" s="192"/>
      <c r="M39" s="192"/>
      <c r="N39" s="192"/>
      <c r="O39" s="192"/>
      <c r="P39" s="192"/>
    </row>
    <row r="40" spans="1:16" ht="23" customHeight="1" x14ac:dyDescent="0.2">
      <c r="A40" s="18" t="s">
        <v>150</v>
      </c>
      <c r="B40" s="18" t="s">
        <v>71</v>
      </c>
      <c r="H40" s="192"/>
      <c r="I40" s="192"/>
      <c r="J40" s="192"/>
      <c r="K40" s="192"/>
      <c r="L40" s="192"/>
      <c r="M40" s="192"/>
      <c r="N40" s="192"/>
      <c r="O40" s="192"/>
      <c r="P40" s="192"/>
    </row>
    <row r="42" spans="1:16" x14ac:dyDescent="0.2">
      <c r="A42" s="18" t="s">
        <v>505</v>
      </c>
      <c r="B42" s="18" t="s">
        <v>506</v>
      </c>
    </row>
    <row r="43" spans="1:16" x14ac:dyDescent="0.2">
      <c r="A43" s="18" t="s">
        <v>168</v>
      </c>
      <c r="B43" s="18" t="s">
        <v>482</v>
      </c>
    </row>
    <row r="44" spans="1:16" x14ac:dyDescent="0.2">
      <c r="A44" s="18" t="s">
        <v>169</v>
      </c>
      <c r="B44" s="18" t="s">
        <v>89</v>
      </c>
    </row>
    <row r="46" spans="1:16" x14ac:dyDescent="0.2">
      <c r="A46" s="110" t="s">
        <v>508</v>
      </c>
      <c r="B46" s="110" t="s">
        <v>509</v>
      </c>
      <c r="C46" s="110" t="s">
        <v>51</v>
      </c>
    </row>
    <row r="47" spans="1:16" x14ac:dyDescent="0.2">
      <c r="A47" s="110" t="s">
        <v>102</v>
      </c>
      <c r="B47" s="149">
        <v>56.7</v>
      </c>
      <c r="C47" s="112" t="s">
        <v>53</v>
      </c>
    </row>
    <row r="48" spans="1:16" x14ac:dyDescent="0.2">
      <c r="A48" s="110" t="s">
        <v>104</v>
      </c>
      <c r="B48" s="149">
        <v>39.299999999999997</v>
      </c>
      <c r="C48" s="112" t="s">
        <v>75</v>
      </c>
    </row>
    <row r="49" spans="1:6" x14ac:dyDescent="0.2">
      <c r="A49" s="110" t="s">
        <v>107</v>
      </c>
      <c r="B49" s="149">
        <v>45.5</v>
      </c>
      <c r="C49" s="112" t="s">
        <v>75</v>
      </c>
    </row>
    <row r="50" spans="1:6" x14ac:dyDescent="0.2">
      <c r="A50" s="110" t="s">
        <v>32</v>
      </c>
      <c r="B50" s="149">
        <v>47.8</v>
      </c>
      <c r="C50" s="112" t="s">
        <v>75</v>
      </c>
    </row>
    <row r="51" spans="1:6" x14ac:dyDescent="0.2">
      <c r="A51" s="110" t="s">
        <v>37</v>
      </c>
      <c r="B51" s="149">
        <v>53.3</v>
      </c>
      <c r="C51" s="112" t="s">
        <v>75</v>
      </c>
    </row>
    <row r="52" spans="1:6" x14ac:dyDescent="0.2">
      <c r="A52" s="110" t="s">
        <v>106</v>
      </c>
      <c r="B52" s="149">
        <v>49.1</v>
      </c>
      <c r="C52" s="112" t="s">
        <v>75</v>
      </c>
    </row>
    <row r="53" spans="1:6" x14ac:dyDescent="0.2">
      <c r="A53" s="110" t="s">
        <v>119</v>
      </c>
      <c r="B53" s="149">
        <v>48.3</v>
      </c>
      <c r="C53" s="112" t="s">
        <v>75</v>
      </c>
    </row>
    <row r="54" spans="1:6" x14ac:dyDescent="0.2">
      <c r="A54" s="110" t="s">
        <v>113</v>
      </c>
      <c r="B54" s="149">
        <v>39.9</v>
      </c>
      <c r="C54" s="112" t="s">
        <v>75</v>
      </c>
    </row>
    <row r="55" spans="1:6" x14ac:dyDescent="0.2">
      <c r="A55" s="110" t="s">
        <v>122</v>
      </c>
      <c r="B55" s="149">
        <v>53.8</v>
      </c>
      <c r="C55" s="112" t="s">
        <v>75</v>
      </c>
    </row>
    <row r="56" spans="1:6" x14ac:dyDescent="0.2">
      <c r="A56" s="110" t="s">
        <v>99</v>
      </c>
      <c r="B56" s="149">
        <v>50.7</v>
      </c>
      <c r="C56" s="112" t="s">
        <v>75</v>
      </c>
    </row>
    <row r="57" spans="1:6" x14ac:dyDescent="0.2">
      <c r="A57" s="110" t="s">
        <v>126</v>
      </c>
      <c r="B57" s="149">
        <v>47.4</v>
      </c>
      <c r="C57" s="112" t="s">
        <v>75</v>
      </c>
    </row>
    <row r="58" spans="1:6" x14ac:dyDescent="0.2">
      <c r="A58" s="110" t="s">
        <v>129</v>
      </c>
      <c r="B58" s="149">
        <v>41.8</v>
      </c>
      <c r="C58" s="112" t="s">
        <v>75</v>
      </c>
    </row>
    <row r="59" spans="1:6" x14ac:dyDescent="0.2">
      <c r="A59" s="110" t="s">
        <v>36</v>
      </c>
      <c r="B59" s="149">
        <v>48.8</v>
      </c>
      <c r="C59" s="112" t="s">
        <v>75</v>
      </c>
    </row>
    <row r="60" spans="1:6" x14ac:dyDescent="0.2">
      <c r="A60" s="110" t="s">
        <v>35</v>
      </c>
      <c r="B60" s="148">
        <v>44</v>
      </c>
      <c r="C60" s="112" t="s">
        <v>75</v>
      </c>
    </row>
    <row r="61" spans="1:6" x14ac:dyDescent="0.2">
      <c r="A61" s="110" t="s">
        <v>41</v>
      </c>
      <c r="B61" s="149">
        <v>39.700000000000003</v>
      </c>
      <c r="C61" s="112" t="s">
        <v>75</v>
      </c>
    </row>
    <row r="63" spans="1:6" x14ac:dyDescent="0.2">
      <c r="A63" s="18" t="s">
        <v>54</v>
      </c>
      <c r="E63" s="18" t="s">
        <v>55</v>
      </c>
    </row>
    <row r="64" spans="1:6" x14ac:dyDescent="0.2">
      <c r="A64" s="18" t="s">
        <v>56</v>
      </c>
      <c r="B64" s="18" t="s">
        <v>57</v>
      </c>
      <c r="E64" s="18" t="s">
        <v>58</v>
      </c>
      <c r="F64" s="18" t="s">
        <v>59</v>
      </c>
    </row>
    <row r="65" spans="1:2" x14ac:dyDescent="0.2">
      <c r="A65" s="18" t="s">
        <v>60</v>
      </c>
      <c r="B65" s="18" t="s">
        <v>61</v>
      </c>
    </row>
    <row r="66" spans="1:2" x14ac:dyDescent="0.2">
      <c r="A66" s="18" t="s">
        <v>62</v>
      </c>
      <c r="B66" s="18" t="s">
        <v>63</v>
      </c>
    </row>
    <row r="67" spans="1:2" x14ac:dyDescent="0.2">
      <c r="A67" s="18" t="s">
        <v>64</v>
      </c>
      <c r="B67" s="18" t="s">
        <v>65</v>
      </c>
    </row>
    <row r="68" spans="1:2" x14ac:dyDescent="0.2">
      <c r="A68" s="18" t="s">
        <v>66</v>
      </c>
      <c r="B68" s="18" t="s">
        <v>67</v>
      </c>
    </row>
    <row r="69" spans="1:2" x14ac:dyDescent="0.2">
      <c r="A69" s="18" t="s">
        <v>68</v>
      </c>
      <c r="B69" s="18" t="s">
        <v>50</v>
      </c>
    </row>
    <row r="70" spans="1:2" x14ac:dyDescent="0.2">
      <c r="A70" s="18" t="s">
        <v>141</v>
      </c>
      <c r="B70" s="18" t="s">
        <v>142</v>
      </c>
    </row>
    <row r="71" spans="1:2" x14ac:dyDescent="0.2">
      <c r="A71" s="18" t="s">
        <v>143</v>
      </c>
      <c r="B71" s="18" t="s">
        <v>144</v>
      </c>
    </row>
    <row r="72" spans="1:2" x14ac:dyDescent="0.2">
      <c r="A72" s="18" t="s">
        <v>145</v>
      </c>
      <c r="B72" s="18" t="s">
        <v>146</v>
      </c>
    </row>
    <row r="73" spans="1:2" x14ac:dyDescent="0.2">
      <c r="A73" s="18" t="s">
        <v>147</v>
      </c>
      <c r="B73" s="18" t="s">
        <v>148</v>
      </c>
    </row>
    <row r="74" spans="1:2" x14ac:dyDescent="0.2">
      <c r="A74" s="18" t="s">
        <v>53</v>
      </c>
      <c r="B74" s="18" t="s">
        <v>149</v>
      </c>
    </row>
    <row r="75" spans="1:2" x14ac:dyDescent="0.2">
      <c r="A75" s="18" t="s">
        <v>150</v>
      </c>
      <c r="B75" s="18" t="s">
        <v>71</v>
      </c>
    </row>
    <row r="77" spans="1:2" x14ac:dyDescent="0.2">
      <c r="A77" s="18" t="s">
        <v>505</v>
      </c>
      <c r="B77" s="18" t="s">
        <v>506</v>
      </c>
    </row>
    <row r="78" spans="1:2" x14ac:dyDescent="0.2">
      <c r="A78" s="18" t="s">
        <v>168</v>
      </c>
      <c r="B78" s="18" t="s">
        <v>483</v>
      </c>
    </row>
    <row r="79" spans="1:2" x14ac:dyDescent="0.2">
      <c r="A79" s="18" t="s">
        <v>169</v>
      </c>
      <c r="B79" s="18" t="s">
        <v>89</v>
      </c>
    </row>
    <row r="81" spans="1:3" x14ac:dyDescent="0.2">
      <c r="A81" s="110" t="s">
        <v>508</v>
      </c>
      <c r="B81" s="110" t="s">
        <v>509</v>
      </c>
      <c r="C81" s="110" t="s">
        <v>51</v>
      </c>
    </row>
    <row r="82" spans="1:3" x14ac:dyDescent="0.2">
      <c r="A82" s="110" t="s">
        <v>102</v>
      </c>
      <c r="B82" s="112" t="s">
        <v>58</v>
      </c>
      <c r="C82" s="112" t="s">
        <v>75</v>
      </c>
    </row>
    <row r="83" spans="1:3" x14ac:dyDescent="0.2">
      <c r="A83" s="110" t="s">
        <v>104</v>
      </c>
      <c r="B83" s="149">
        <v>36.6</v>
      </c>
      <c r="C83" s="112" t="s">
        <v>53</v>
      </c>
    </row>
    <row r="84" spans="1:3" x14ac:dyDescent="0.2">
      <c r="A84" s="110" t="s">
        <v>107</v>
      </c>
      <c r="B84" s="149">
        <v>39.200000000000003</v>
      </c>
      <c r="C84" s="112" t="s">
        <v>53</v>
      </c>
    </row>
    <row r="85" spans="1:3" x14ac:dyDescent="0.2">
      <c r="A85" s="110" t="s">
        <v>32</v>
      </c>
      <c r="B85" s="149">
        <v>42.5</v>
      </c>
      <c r="C85" s="112" t="s">
        <v>75</v>
      </c>
    </row>
    <row r="86" spans="1:3" x14ac:dyDescent="0.2">
      <c r="A86" s="110" t="s">
        <v>37</v>
      </c>
      <c r="B86" s="149">
        <v>54.7</v>
      </c>
      <c r="C86" s="112" t="s">
        <v>53</v>
      </c>
    </row>
    <row r="87" spans="1:3" x14ac:dyDescent="0.2">
      <c r="A87" s="110" t="s">
        <v>106</v>
      </c>
      <c r="B87" s="148">
        <v>44</v>
      </c>
      <c r="C87" s="112" t="s">
        <v>53</v>
      </c>
    </row>
    <row r="88" spans="1:3" x14ac:dyDescent="0.2">
      <c r="A88" s="110" t="s">
        <v>119</v>
      </c>
      <c r="B88" s="149">
        <v>47.1</v>
      </c>
      <c r="C88" s="112" t="s">
        <v>75</v>
      </c>
    </row>
    <row r="89" spans="1:3" x14ac:dyDescent="0.2">
      <c r="A89" s="110" t="s">
        <v>113</v>
      </c>
      <c r="B89" s="149">
        <v>38.4</v>
      </c>
      <c r="C89" s="112" t="s">
        <v>75</v>
      </c>
    </row>
    <row r="90" spans="1:3" x14ac:dyDescent="0.2">
      <c r="A90" s="110" t="s">
        <v>122</v>
      </c>
      <c r="B90" s="149">
        <v>56.5</v>
      </c>
      <c r="C90" s="112" t="s">
        <v>53</v>
      </c>
    </row>
    <row r="91" spans="1:3" x14ac:dyDescent="0.2">
      <c r="A91" s="110" t="s">
        <v>99</v>
      </c>
      <c r="B91" s="149">
        <v>44.7</v>
      </c>
      <c r="C91" s="112" t="s">
        <v>53</v>
      </c>
    </row>
    <row r="92" spans="1:3" x14ac:dyDescent="0.2">
      <c r="A92" s="110" t="s">
        <v>126</v>
      </c>
      <c r="B92" s="149">
        <v>43.3</v>
      </c>
      <c r="C92" s="112" t="s">
        <v>75</v>
      </c>
    </row>
    <row r="93" spans="1:3" x14ac:dyDescent="0.2">
      <c r="A93" s="110" t="s">
        <v>129</v>
      </c>
      <c r="B93" s="149">
        <v>36.700000000000003</v>
      </c>
      <c r="C93" s="112" t="s">
        <v>75</v>
      </c>
    </row>
    <row r="94" spans="1:3" x14ac:dyDescent="0.2">
      <c r="A94" s="110" t="s">
        <v>36</v>
      </c>
      <c r="B94" s="112" t="s">
        <v>58</v>
      </c>
      <c r="C94" s="112" t="s">
        <v>75</v>
      </c>
    </row>
    <row r="95" spans="1:3" x14ac:dyDescent="0.2">
      <c r="A95" s="110" t="s">
        <v>35</v>
      </c>
      <c r="B95" s="148">
        <v>33</v>
      </c>
      <c r="C95" s="112" t="s">
        <v>53</v>
      </c>
    </row>
    <row r="96" spans="1:3" x14ac:dyDescent="0.2">
      <c r="A96" s="110" t="s">
        <v>41</v>
      </c>
      <c r="B96" s="149">
        <v>33.299999999999997</v>
      </c>
      <c r="C96" s="112" t="s">
        <v>53</v>
      </c>
    </row>
    <row r="98" spans="1:6" x14ac:dyDescent="0.2">
      <c r="A98" s="18" t="s">
        <v>54</v>
      </c>
      <c r="E98" s="18" t="s">
        <v>55</v>
      </c>
    </row>
    <row r="99" spans="1:6" x14ac:dyDescent="0.2">
      <c r="A99" s="18" t="s">
        <v>56</v>
      </c>
      <c r="B99" s="18" t="s">
        <v>57</v>
      </c>
      <c r="E99" s="18" t="s">
        <v>58</v>
      </c>
      <c r="F99" s="18" t="s">
        <v>59</v>
      </c>
    </row>
    <row r="100" spans="1:6" x14ac:dyDescent="0.2">
      <c r="A100" s="18" t="s">
        <v>60</v>
      </c>
      <c r="B100" s="18" t="s">
        <v>61</v>
      </c>
    </row>
    <row r="101" spans="1:6" x14ac:dyDescent="0.2">
      <c r="A101" s="18" t="s">
        <v>62</v>
      </c>
      <c r="B101" s="18" t="s">
        <v>63</v>
      </c>
    </row>
    <row r="102" spans="1:6" x14ac:dyDescent="0.2">
      <c r="A102" s="18" t="s">
        <v>64</v>
      </c>
      <c r="B102" s="18" t="s">
        <v>65</v>
      </c>
    </row>
    <row r="103" spans="1:6" x14ac:dyDescent="0.2">
      <c r="A103" s="18" t="s">
        <v>66</v>
      </c>
      <c r="B103" s="18" t="s">
        <v>67</v>
      </c>
    </row>
    <row r="104" spans="1:6" x14ac:dyDescent="0.2">
      <c r="A104" s="18" t="s">
        <v>68</v>
      </c>
      <c r="B104" s="18" t="s">
        <v>50</v>
      </c>
    </row>
    <row r="105" spans="1:6" x14ac:dyDescent="0.2">
      <c r="A105" s="18" t="s">
        <v>141</v>
      </c>
      <c r="B105" s="18" t="s">
        <v>142</v>
      </c>
    </row>
    <row r="106" spans="1:6" x14ac:dyDescent="0.2">
      <c r="A106" s="18" t="s">
        <v>143</v>
      </c>
      <c r="B106" s="18" t="s">
        <v>144</v>
      </c>
    </row>
    <row r="107" spans="1:6" x14ac:dyDescent="0.2">
      <c r="A107" s="18" t="s">
        <v>145</v>
      </c>
      <c r="B107" s="18" t="s">
        <v>146</v>
      </c>
    </row>
    <row r="108" spans="1:6" x14ac:dyDescent="0.2">
      <c r="A108" s="18" t="s">
        <v>147</v>
      </c>
      <c r="B108" s="18" t="s">
        <v>148</v>
      </c>
    </row>
    <row r="109" spans="1:6" x14ac:dyDescent="0.2">
      <c r="A109" s="18" t="s">
        <v>53</v>
      </c>
      <c r="B109" s="18" t="s">
        <v>149</v>
      </c>
    </row>
    <row r="110" spans="1:6" x14ac:dyDescent="0.2">
      <c r="A110" s="18" t="s">
        <v>150</v>
      </c>
      <c r="B110" s="18" t="s">
        <v>71</v>
      </c>
    </row>
  </sheetData>
  <mergeCells count="1">
    <mergeCell ref="H36:P40"/>
  </mergeCells>
  <phoneticPr fontId="7" type="noConversion"/>
  <pageMargins left="0.75" right="0.75" top="1" bottom="1" header="0.5" footer="0.5"/>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5:H56"/>
  <sheetViews>
    <sheetView topLeftCell="A33" workbookViewId="0">
      <selection activeCell="A55" sqref="A55:H56"/>
    </sheetView>
  </sheetViews>
  <sheetFormatPr baseColWidth="10" defaultColWidth="11.5" defaultRowHeight="15" x14ac:dyDescent="0.2"/>
  <sheetData>
    <row r="55" spans="1:8" x14ac:dyDescent="0.2">
      <c r="A55" s="191" t="s">
        <v>2</v>
      </c>
      <c r="B55" s="192"/>
      <c r="C55" s="192"/>
      <c r="D55" s="192"/>
      <c r="E55" s="192"/>
      <c r="F55" s="192"/>
      <c r="G55" s="192"/>
      <c r="H55" s="192"/>
    </row>
    <row r="56" spans="1:8" ht="103" customHeight="1" x14ac:dyDescent="0.2">
      <c r="A56" s="192"/>
      <c r="B56" s="192"/>
      <c r="C56" s="192"/>
      <c r="D56" s="192"/>
      <c r="E56" s="192"/>
      <c r="F56" s="192"/>
      <c r="G56" s="192"/>
      <c r="H56" s="192"/>
    </row>
  </sheetData>
  <mergeCells count="1">
    <mergeCell ref="A55:H56"/>
  </mergeCells>
  <phoneticPr fontId="7" type="noConversion"/>
  <pageMargins left="0.75" right="0.75" top="1" bottom="1" header="0.5" footer="0.5"/>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1:H72"/>
  <sheetViews>
    <sheetView topLeftCell="A49" workbookViewId="0">
      <selection activeCell="A71" sqref="A71:H72"/>
    </sheetView>
  </sheetViews>
  <sheetFormatPr baseColWidth="10" defaultColWidth="11.5" defaultRowHeight="15" x14ac:dyDescent="0.2"/>
  <sheetData>
    <row r="71" spans="1:8" x14ac:dyDescent="0.2">
      <c r="A71" s="191" t="s">
        <v>0</v>
      </c>
      <c r="B71" s="192"/>
      <c r="C71" s="192"/>
      <c r="D71" s="192"/>
      <c r="E71" s="192"/>
      <c r="F71" s="192"/>
      <c r="G71" s="192"/>
      <c r="H71" s="192"/>
    </row>
    <row r="72" spans="1:8" ht="107" customHeight="1" x14ac:dyDescent="0.2">
      <c r="A72" s="192"/>
      <c r="B72" s="192"/>
      <c r="C72" s="192"/>
      <c r="D72" s="192"/>
      <c r="E72" s="192"/>
      <c r="F72" s="192"/>
      <c r="G72" s="192"/>
      <c r="H72" s="192"/>
    </row>
  </sheetData>
  <mergeCells count="1">
    <mergeCell ref="A71:H72"/>
  </mergeCells>
  <phoneticPr fontId="7" type="noConversion"/>
  <pageMargins left="0.75" right="0.75" top="1" bottom="1" header="0.5" footer="0.5"/>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0"/>
  <sheetViews>
    <sheetView topLeftCell="A6" workbookViewId="0">
      <selection activeCell="A56" sqref="A56"/>
    </sheetView>
  </sheetViews>
  <sheetFormatPr baseColWidth="10" defaultColWidth="10.1640625" defaultRowHeight="15" x14ac:dyDescent="0.2"/>
  <cols>
    <col min="1" max="16384" width="10.1640625" style="131"/>
  </cols>
  <sheetData>
    <row r="1" spans="1:12" x14ac:dyDescent="0.2">
      <c r="A1" s="18" t="s">
        <v>30</v>
      </c>
    </row>
    <row r="3" spans="1:12" x14ac:dyDescent="0.2">
      <c r="A3" s="18" t="s">
        <v>306</v>
      </c>
      <c r="B3" s="150">
        <v>42170.50509259259</v>
      </c>
    </row>
    <row r="4" spans="1:12" x14ac:dyDescent="0.2">
      <c r="A4" s="18" t="s">
        <v>161</v>
      </c>
      <c r="B4" s="150">
        <v>42182.347564317126</v>
      </c>
    </row>
    <row r="5" spans="1:12" x14ac:dyDescent="0.2">
      <c r="A5" s="18" t="s">
        <v>162</v>
      </c>
      <c r="B5" s="18" t="s">
        <v>163</v>
      </c>
    </row>
    <row r="6" spans="1:12" x14ac:dyDescent="0.2">
      <c r="A6" s="18" t="s">
        <v>164</v>
      </c>
      <c r="B6" s="18" t="s">
        <v>165</v>
      </c>
    </row>
    <row r="8" spans="1:12" x14ac:dyDescent="0.2">
      <c r="A8" s="18" t="s">
        <v>172</v>
      </c>
      <c r="B8" s="18" t="s">
        <v>31</v>
      </c>
    </row>
    <row r="9" spans="1:12" x14ac:dyDescent="0.2">
      <c r="A9" s="18" t="s">
        <v>168</v>
      </c>
      <c r="B9" s="18" t="s">
        <v>507</v>
      </c>
    </row>
    <row r="10" spans="1:12" x14ac:dyDescent="0.2">
      <c r="A10" s="18" t="s">
        <v>169</v>
      </c>
      <c r="B10" s="18" t="s">
        <v>89</v>
      </c>
    </row>
    <row r="12" spans="1:12" x14ac:dyDescent="0.2">
      <c r="A12" s="110" t="s">
        <v>174</v>
      </c>
      <c r="B12" s="110" t="s">
        <v>175</v>
      </c>
      <c r="C12" s="110" t="s">
        <v>51</v>
      </c>
      <c r="G12" s="191" t="s">
        <v>604</v>
      </c>
      <c r="H12" s="192"/>
      <c r="I12" s="192"/>
      <c r="J12" s="192"/>
      <c r="K12" s="192"/>
      <c r="L12" s="192"/>
    </row>
    <row r="13" spans="1:12" x14ac:dyDescent="0.2">
      <c r="A13" s="110" t="s">
        <v>551</v>
      </c>
      <c r="B13" s="151">
        <v>19.100000000000001</v>
      </c>
      <c r="C13" s="112" t="s">
        <v>75</v>
      </c>
      <c r="G13" s="192"/>
      <c r="H13" s="192"/>
      <c r="I13" s="192"/>
      <c r="J13" s="192"/>
      <c r="K13" s="192"/>
      <c r="L13" s="192"/>
    </row>
    <row r="14" spans="1:12" x14ac:dyDescent="0.2">
      <c r="A14" s="110" t="s">
        <v>605</v>
      </c>
      <c r="B14" s="151">
        <v>16.8</v>
      </c>
      <c r="C14" s="112" t="s">
        <v>75</v>
      </c>
      <c r="G14" s="192"/>
      <c r="H14" s="192"/>
      <c r="I14" s="192"/>
      <c r="J14" s="192"/>
      <c r="K14" s="192"/>
      <c r="L14" s="192"/>
    </row>
    <row r="15" spans="1:12" x14ac:dyDescent="0.2">
      <c r="A15" s="110" t="s">
        <v>607</v>
      </c>
      <c r="B15" s="151">
        <v>28.5</v>
      </c>
      <c r="C15" s="112" t="s">
        <v>75</v>
      </c>
    </row>
    <row r="16" spans="1:12" x14ac:dyDescent="0.2">
      <c r="A16" s="110" t="s">
        <v>102</v>
      </c>
      <c r="B16" s="151">
        <v>19.2</v>
      </c>
      <c r="C16" s="112" t="s">
        <v>75</v>
      </c>
    </row>
    <row r="17" spans="1:3" x14ac:dyDescent="0.2">
      <c r="A17" s="110" t="s">
        <v>104</v>
      </c>
      <c r="B17" s="151">
        <v>59.8</v>
      </c>
      <c r="C17" s="112" t="s">
        <v>75</v>
      </c>
    </row>
    <row r="18" spans="1:3" x14ac:dyDescent="0.2">
      <c r="A18" s="110" t="s">
        <v>107</v>
      </c>
      <c r="B18" s="151">
        <v>13.4</v>
      </c>
      <c r="C18" s="112" t="s">
        <v>75</v>
      </c>
    </row>
    <row r="19" spans="1:3" x14ac:dyDescent="0.2">
      <c r="A19" s="110" t="s">
        <v>108</v>
      </c>
      <c r="B19" s="151">
        <v>9.3000000000000007</v>
      </c>
      <c r="C19" s="112" t="s">
        <v>75</v>
      </c>
    </row>
    <row r="20" spans="1:3" x14ac:dyDescent="0.2">
      <c r="A20" s="110" t="s">
        <v>82</v>
      </c>
      <c r="B20" s="151">
        <v>19.5</v>
      </c>
      <c r="C20" s="112" t="s">
        <v>75</v>
      </c>
    </row>
    <row r="21" spans="1:3" x14ac:dyDescent="0.2">
      <c r="A21" s="110" t="s">
        <v>109</v>
      </c>
      <c r="B21" s="151">
        <v>34.9</v>
      </c>
      <c r="C21" s="112" t="s">
        <v>75</v>
      </c>
    </row>
    <row r="22" spans="1:3" x14ac:dyDescent="0.2">
      <c r="A22" s="110" t="s">
        <v>115</v>
      </c>
      <c r="B22" s="151">
        <v>15.3</v>
      </c>
      <c r="C22" s="112" t="s">
        <v>75</v>
      </c>
    </row>
    <row r="23" spans="1:3" x14ac:dyDescent="0.2">
      <c r="A23" s="110" t="s">
        <v>32</v>
      </c>
      <c r="B23" s="151">
        <v>20.8</v>
      </c>
      <c r="C23" s="112" t="s">
        <v>75</v>
      </c>
    </row>
    <row r="24" spans="1:3" x14ac:dyDescent="0.2">
      <c r="A24" s="110" t="s">
        <v>37</v>
      </c>
      <c r="B24" s="151">
        <v>15.8</v>
      </c>
      <c r="C24" s="112" t="s">
        <v>75</v>
      </c>
    </row>
    <row r="25" spans="1:3" x14ac:dyDescent="0.2">
      <c r="A25" s="110" t="s">
        <v>111</v>
      </c>
      <c r="B25" s="151">
        <v>9.4</v>
      </c>
      <c r="C25" s="112" t="s">
        <v>75</v>
      </c>
    </row>
    <row r="26" spans="1:3" x14ac:dyDescent="0.2">
      <c r="A26" s="110" t="s">
        <v>81</v>
      </c>
      <c r="B26" s="151">
        <v>30.6</v>
      </c>
      <c r="C26" s="112" t="s">
        <v>75</v>
      </c>
    </row>
    <row r="27" spans="1:3" x14ac:dyDescent="0.2">
      <c r="A27" s="110" t="s">
        <v>117</v>
      </c>
      <c r="B27" s="151">
        <v>23.4</v>
      </c>
      <c r="C27" s="112" t="s">
        <v>75</v>
      </c>
    </row>
    <row r="28" spans="1:3" x14ac:dyDescent="0.2">
      <c r="A28" s="110" t="s">
        <v>106</v>
      </c>
      <c r="B28" s="151">
        <v>21.8</v>
      </c>
      <c r="C28" s="112" t="s">
        <v>75</v>
      </c>
    </row>
    <row r="29" spans="1:3" x14ac:dyDescent="0.2">
      <c r="A29" s="110" t="s">
        <v>119</v>
      </c>
      <c r="B29" s="151">
        <v>39.9</v>
      </c>
      <c r="C29" s="112" t="s">
        <v>75</v>
      </c>
    </row>
    <row r="30" spans="1:3" x14ac:dyDescent="0.2">
      <c r="A30" s="110" t="s">
        <v>120</v>
      </c>
      <c r="B30" s="151">
        <v>31.7</v>
      </c>
      <c r="C30" s="112" t="s">
        <v>75</v>
      </c>
    </row>
    <row r="31" spans="1:3" x14ac:dyDescent="0.2">
      <c r="A31" s="110" t="s">
        <v>121</v>
      </c>
      <c r="B31" s="151">
        <v>6</v>
      </c>
      <c r="C31" s="112" t="s">
        <v>75</v>
      </c>
    </row>
    <row r="32" spans="1:3" x14ac:dyDescent="0.2">
      <c r="A32" s="110" t="s">
        <v>113</v>
      </c>
      <c r="B32" s="151">
        <v>23.8</v>
      </c>
      <c r="C32" s="112" t="s">
        <v>75</v>
      </c>
    </row>
    <row r="33" spans="1:13" x14ac:dyDescent="0.2">
      <c r="A33" s="110" t="s">
        <v>122</v>
      </c>
      <c r="B33" s="151">
        <v>21.7</v>
      </c>
      <c r="C33" s="112" t="s">
        <v>75</v>
      </c>
    </row>
    <row r="34" spans="1:13" x14ac:dyDescent="0.2">
      <c r="A34" s="110" t="s">
        <v>124</v>
      </c>
      <c r="B34" s="151">
        <v>5.2</v>
      </c>
      <c r="C34" s="112" t="s">
        <v>75</v>
      </c>
    </row>
    <row r="35" spans="1:13" x14ac:dyDescent="0.2">
      <c r="A35" s="110" t="s">
        <v>99</v>
      </c>
      <c r="B35" s="151">
        <v>18.7</v>
      </c>
      <c r="C35" s="112" t="s">
        <v>75</v>
      </c>
    </row>
    <row r="36" spans="1:13" x14ac:dyDescent="0.2">
      <c r="A36" s="110" t="s">
        <v>126</v>
      </c>
      <c r="B36" s="151">
        <v>25.2</v>
      </c>
      <c r="C36" s="112" t="s">
        <v>75</v>
      </c>
    </row>
    <row r="37" spans="1:13" x14ac:dyDescent="0.2">
      <c r="A37" s="110" t="s">
        <v>127</v>
      </c>
      <c r="B37" s="151">
        <v>18.3</v>
      </c>
      <c r="C37" s="112" t="s">
        <v>75</v>
      </c>
    </row>
    <row r="38" spans="1:13" x14ac:dyDescent="0.2">
      <c r="A38" s="110" t="s">
        <v>129</v>
      </c>
      <c r="B38" s="151">
        <v>34.4</v>
      </c>
      <c r="C38" s="112" t="s">
        <v>75</v>
      </c>
    </row>
    <row r="39" spans="1:13" x14ac:dyDescent="0.2">
      <c r="A39" s="110" t="s">
        <v>36</v>
      </c>
      <c r="B39" s="151">
        <v>21.1</v>
      </c>
      <c r="C39" s="112" t="s">
        <v>75</v>
      </c>
    </row>
    <row r="40" spans="1:13" x14ac:dyDescent="0.2">
      <c r="A40" s="110" t="s">
        <v>35</v>
      </c>
      <c r="B40" s="151">
        <v>13.6</v>
      </c>
      <c r="C40" s="112" t="s">
        <v>75</v>
      </c>
    </row>
    <row r="41" spans="1:13" x14ac:dyDescent="0.2">
      <c r="A41" s="110" t="s">
        <v>110</v>
      </c>
      <c r="B41" s="151">
        <v>12</v>
      </c>
      <c r="C41" s="112" t="s">
        <v>75</v>
      </c>
    </row>
    <row r="42" spans="1:13" x14ac:dyDescent="0.2">
      <c r="A42" s="110" t="s">
        <v>38</v>
      </c>
      <c r="B42" s="151">
        <v>12.6</v>
      </c>
      <c r="C42" s="112" t="s">
        <v>75</v>
      </c>
    </row>
    <row r="43" spans="1:13" x14ac:dyDescent="0.2">
      <c r="A43" s="110" t="s">
        <v>95</v>
      </c>
      <c r="B43" s="151">
        <v>16.3</v>
      </c>
      <c r="C43" s="112" t="s">
        <v>75</v>
      </c>
    </row>
    <row r="44" spans="1:13" x14ac:dyDescent="0.2">
      <c r="A44" s="110" t="s">
        <v>114</v>
      </c>
      <c r="B44" s="151">
        <v>3.9</v>
      </c>
      <c r="C44" s="112" t="s">
        <v>75</v>
      </c>
      <c r="G44" s="191"/>
      <c r="H44" s="192"/>
      <c r="I44" s="192"/>
      <c r="J44" s="192"/>
      <c r="K44" s="192"/>
      <c r="L44" s="192"/>
      <c r="M44" s="192"/>
    </row>
    <row r="45" spans="1:13" x14ac:dyDescent="0.2">
      <c r="A45" s="110" t="s">
        <v>125</v>
      </c>
      <c r="B45" s="151">
        <v>6</v>
      </c>
      <c r="C45" s="112" t="s">
        <v>75</v>
      </c>
      <c r="G45" s="192"/>
      <c r="H45" s="192"/>
      <c r="I45" s="192"/>
      <c r="J45" s="192"/>
      <c r="K45" s="192"/>
      <c r="L45" s="192"/>
      <c r="M45" s="192"/>
    </row>
    <row r="46" spans="1:13" x14ac:dyDescent="0.2">
      <c r="A46" s="110" t="s">
        <v>39</v>
      </c>
      <c r="B46" s="151">
        <v>26.4</v>
      </c>
      <c r="C46" s="112" t="s">
        <v>75</v>
      </c>
    </row>
    <row r="47" spans="1:13" x14ac:dyDescent="0.2">
      <c r="A47" s="110" t="s">
        <v>609</v>
      </c>
      <c r="B47" s="151">
        <v>45.2</v>
      </c>
      <c r="C47" s="112" t="s">
        <v>75</v>
      </c>
    </row>
    <row r="48" spans="1:13" x14ac:dyDescent="0.2">
      <c r="A48" s="110" t="s">
        <v>34</v>
      </c>
      <c r="B48" s="151">
        <v>37</v>
      </c>
      <c r="C48" s="112" t="s">
        <v>75</v>
      </c>
    </row>
    <row r="49" spans="1:6" x14ac:dyDescent="0.2">
      <c r="A49" s="110" t="s">
        <v>41</v>
      </c>
      <c r="B49" s="112" t="s">
        <v>58</v>
      </c>
      <c r="C49" s="112" t="s">
        <v>75</v>
      </c>
    </row>
    <row r="51" spans="1:6" s="181" customFormat="1" x14ac:dyDescent="0.2">
      <c r="A51" s="181" t="s">
        <v>548</v>
      </c>
    </row>
    <row r="52" spans="1:6" s="181" customFormat="1" x14ac:dyDescent="0.2">
      <c r="A52" s="181" t="s">
        <v>606</v>
      </c>
    </row>
    <row r="53" spans="1:6" s="181" customFormat="1" x14ac:dyDescent="0.2">
      <c r="A53" s="45" t="s">
        <v>608</v>
      </c>
    </row>
    <row r="54" spans="1:6" s="181" customFormat="1" x14ac:dyDescent="0.2">
      <c r="A54" s="181" t="s">
        <v>572</v>
      </c>
    </row>
    <row r="55" spans="1:6" s="181" customFormat="1" x14ac:dyDescent="0.2">
      <c r="A55" s="181" t="s">
        <v>610</v>
      </c>
    </row>
    <row r="56" spans="1:6" s="181" customFormat="1" x14ac:dyDescent="0.2">
      <c r="A56" s="5" t="s">
        <v>611</v>
      </c>
    </row>
    <row r="57" spans="1:6" s="181" customFormat="1" x14ac:dyDescent="0.2"/>
    <row r="58" spans="1:6" s="181" customFormat="1" x14ac:dyDescent="0.2"/>
    <row r="59" spans="1:6" s="181" customFormat="1" x14ac:dyDescent="0.2"/>
    <row r="60" spans="1:6" s="181" customFormat="1" x14ac:dyDescent="0.2"/>
    <row r="61" spans="1:6" x14ac:dyDescent="0.2">
      <c r="A61" s="18" t="s">
        <v>54</v>
      </c>
      <c r="E61" s="18" t="s">
        <v>55</v>
      </c>
    </row>
    <row r="62" spans="1:6" x14ac:dyDescent="0.2">
      <c r="A62" s="18" t="s">
        <v>56</v>
      </c>
      <c r="B62" s="18" t="s">
        <v>57</v>
      </c>
      <c r="E62" s="18" t="s">
        <v>58</v>
      </c>
      <c r="F62" s="18" t="s">
        <v>59</v>
      </c>
    </row>
    <row r="63" spans="1:6" x14ac:dyDescent="0.2">
      <c r="A63" s="18" t="s">
        <v>60</v>
      </c>
      <c r="B63" s="18" t="s">
        <v>61</v>
      </c>
    </row>
    <row r="64" spans="1:6" x14ac:dyDescent="0.2">
      <c r="A64" s="18" t="s">
        <v>62</v>
      </c>
      <c r="B64" s="18" t="s">
        <v>63</v>
      </c>
    </row>
    <row r="65" spans="1:3" x14ac:dyDescent="0.2">
      <c r="A65" s="18" t="s">
        <v>64</v>
      </c>
      <c r="B65" s="18" t="s">
        <v>65</v>
      </c>
    </row>
    <row r="66" spans="1:3" x14ac:dyDescent="0.2">
      <c r="A66" s="18" t="s">
        <v>66</v>
      </c>
      <c r="B66" s="18" t="s">
        <v>67</v>
      </c>
    </row>
    <row r="67" spans="1:3" x14ac:dyDescent="0.2">
      <c r="A67" s="18" t="s">
        <v>68</v>
      </c>
      <c r="B67" s="18" t="s">
        <v>50</v>
      </c>
    </row>
    <row r="68" spans="1:3" x14ac:dyDescent="0.2">
      <c r="A68" s="18" t="s">
        <v>141</v>
      </c>
      <c r="B68" s="18" t="s">
        <v>142</v>
      </c>
    </row>
    <row r="69" spans="1:3" x14ac:dyDescent="0.2">
      <c r="A69" s="18" t="s">
        <v>143</v>
      </c>
      <c r="B69" s="18" t="s">
        <v>144</v>
      </c>
    </row>
    <row r="70" spans="1:3" x14ac:dyDescent="0.2">
      <c r="A70" s="18" t="s">
        <v>145</v>
      </c>
      <c r="B70" s="18" t="s">
        <v>146</v>
      </c>
    </row>
    <row r="71" spans="1:3" x14ac:dyDescent="0.2">
      <c r="A71" s="18" t="s">
        <v>147</v>
      </c>
      <c r="B71" s="18" t="s">
        <v>148</v>
      </c>
    </row>
    <row r="72" spans="1:3" x14ac:dyDescent="0.2">
      <c r="A72" s="18" t="s">
        <v>53</v>
      </c>
      <c r="B72" s="18" t="s">
        <v>149</v>
      </c>
    </row>
    <row r="73" spans="1:3" x14ac:dyDescent="0.2">
      <c r="A73" s="18" t="s">
        <v>150</v>
      </c>
      <c r="B73" s="18" t="s">
        <v>71</v>
      </c>
    </row>
    <row r="75" spans="1:3" x14ac:dyDescent="0.2">
      <c r="A75" s="18" t="s">
        <v>172</v>
      </c>
      <c r="B75" s="18" t="s">
        <v>31</v>
      </c>
    </row>
    <row r="76" spans="1:3" x14ac:dyDescent="0.2">
      <c r="A76" s="18" t="s">
        <v>168</v>
      </c>
      <c r="B76" s="18" t="s">
        <v>485</v>
      </c>
    </row>
    <row r="77" spans="1:3" x14ac:dyDescent="0.2">
      <c r="A77" s="18" t="s">
        <v>169</v>
      </c>
      <c r="B77" s="18" t="s">
        <v>89</v>
      </c>
    </row>
    <row r="79" spans="1:3" x14ac:dyDescent="0.2">
      <c r="A79" s="110" t="s">
        <v>174</v>
      </c>
      <c r="B79" s="110" t="s">
        <v>175</v>
      </c>
      <c r="C79" s="110" t="s">
        <v>51</v>
      </c>
    </row>
    <row r="80" spans="1:3" x14ac:dyDescent="0.2">
      <c r="A80" s="110" t="s">
        <v>6</v>
      </c>
      <c r="B80" s="151">
        <v>21.8</v>
      </c>
      <c r="C80" s="112" t="s">
        <v>75</v>
      </c>
    </row>
    <row r="81" spans="1:3" x14ac:dyDescent="0.2">
      <c r="A81" s="110" t="s">
        <v>5</v>
      </c>
      <c r="B81" s="151">
        <v>19.899999999999999</v>
      </c>
      <c r="C81" s="112" t="s">
        <v>75</v>
      </c>
    </row>
    <row r="82" spans="1:3" x14ac:dyDescent="0.2">
      <c r="A82" s="110" t="s">
        <v>484</v>
      </c>
      <c r="B82" s="151">
        <v>30.1</v>
      </c>
      <c r="C82" s="112" t="s">
        <v>75</v>
      </c>
    </row>
    <row r="83" spans="1:3" x14ac:dyDescent="0.2">
      <c r="A83" s="110" t="s">
        <v>102</v>
      </c>
      <c r="B83" s="151">
        <v>22.2</v>
      </c>
      <c r="C83" s="112" t="s">
        <v>75</v>
      </c>
    </row>
    <row r="84" spans="1:3" x14ac:dyDescent="0.2">
      <c r="A84" s="110" t="s">
        <v>104</v>
      </c>
      <c r="B84" s="151">
        <v>64.8</v>
      </c>
      <c r="C84" s="112" t="s">
        <v>75</v>
      </c>
    </row>
    <row r="85" spans="1:3" x14ac:dyDescent="0.2">
      <c r="A85" s="110" t="s">
        <v>107</v>
      </c>
      <c r="B85" s="151">
        <v>14.4</v>
      </c>
      <c r="C85" s="112" t="s">
        <v>75</v>
      </c>
    </row>
    <row r="86" spans="1:3" x14ac:dyDescent="0.2">
      <c r="A86" s="110" t="s">
        <v>108</v>
      </c>
      <c r="B86" s="151">
        <v>17.7</v>
      </c>
      <c r="C86" s="112" t="s">
        <v>75</v>
      </c>
    </row>
    <row r="87" spans="1:3" x14ac:dyDescent="0.2">
      <c r="A87" s="110" t="s">
        <v>82</v>
      </c>
      <c r="B87" s="151">
        <v>16.7</v>
      </c>
      <c r="C87" s="112" t="s">
        <v>75</v>
      </c>
    </row>
    <row r="88" spans="1:3" x14ac:dyDescent="0.2">
      <c r="A88" s="110" t="s">
        <v>109</v>
      </c>
      <c r="B88" s="151">
        <v>32</v>
      </c>
      <c r="C88" s="112" t="s">
        <v>75</v>
      </c>
    </row>
    <row r="89" spans="1:3" x14ac:dyDescent="0.2">
      <c r="A89" s="110" t="s">
        <v>115</v>
      </c>
      <c r="B89" s="151">
        <v>12.5</v>
      </c>
      <c r="C89" s="112" t="s">
        <v>75</v>
      </c>
    </row>
    <row r="90" spans="1:3" x14ac:dyDescent="0.2">
      <c r="A90" s="110" t="s">
        <v>32</v>
      </c>
      <c r="B90" s="151">
        <v>28.1</v>
      </c>
      <c r="C90" s="112" t="s">
        <v>75</v>
      </c>
    </row>
    <row r="91" spans="1:3" x14ac:dyDescent="0.2">
      <c r="A91" s="110" t="s">
        <v>37</v>
      </c>
      <c r="B91" s="151">
        <v>14.4</v>
      </c>
      <c r="C91" s="112" t="s">
        <v>75</v>
      </c>
    </row>
    <row r="92" spans="1:3" x14ac:dyDescent="0.2">
      <c r="A92" s="110" t="s">
        <v>111</v>
      </c>
      <c r="B92" s="151">
        <v>13.4</v>
      </c>
      <c r="C92" s="112" t="s">
        <v>75</v>
      </c>
    </row>
    <row r="93" spans="1:3" x14ac:dyDescent="0.2">
      <c r="A93" s="110" t="s">
        <v>81</v>
      </c>
      <c r="B93" s="151">
        <v>40.4</v>
      </c>
      <c r="C93" s="112" t="s">
        <v>75</v>
      </c>
    </row>
    <row r="94" spans="1:3" x14ac:dyDescent="0.2">
      <c r="A94" s="110" t="s">
        <v>117</v>
      </c>
      <c r="B94" s="151">
        <v>26.7</v>
      </c>
      <c r="C94" s="112" t="s">
        <v>75</v>
      </c>
    </row>
    <row r="95" spans="1:3" x14ac:dyDescent="0.2">
      <c r="A95" s="110" t="s">
        <v>106</v>
      </c>
      <c r="B95" s="151">
        <v>41.1</v>
      </c>
      <c r="C95" s="112" t="s">
        <v>75</v>
      </c>
    </row>
    <row r="96" spans="1:3" x14ac:dyDescent="0.2">
      <c r="A96" s="110" t="s">
        <v>119</v>
      </c>
      <c r="B96" s="151">
        <v>39.700000000000003</v>
      </c>
      <c r="C96" s="112" t="s">
        <v>75</v>
      </c>
    </row>
    <row r="97" spans="1:3" x14ac:dyDescent="0.2">
      <c r="A97" s="110" t="s">
        <v>120</v>
      </c>
      <c r="B97" s="151">
        <v>41</v>
      </c>
      <c r="C97" s="112" t="s">
        <v>75</v>
      </c>
    </row>
    <row r="98" spans="1:3" x14ac:dyDescent="0.2">
      <c r="A98" s="110" t="s">
        <v>121</v>
      </c>
      <c r="B98" s="151">
        <v>10</v>
      </c>
      <c r="C98" s="112" t="s">
        <v>75</v>
      </c>
    </row>
    <row r="99" spans="1:3" x14ac:dyDescent="0.2">
      <c r="A99" s="110" t="s">
        <v>113</v>
      </c>
      <c r="B99" s="151">
        <v>20.100000000000001</v>
      </c>
      <c r="C99" s="112" t="s">
        <v>75</v>
      </c>
    </row>
    <row r="100" spans="1:3" x14ac:dyDescent="0.2">
      <c r="A100" s="110" t="s">
        <v>122</v>
      </c>
      <c r="B100" s="151">
        <v>20</v>
      </c>
      <c r="C100" s="112" t="s">
        <v>75</v>
      </c>
    </row>
    <row r="101" spans="1:3" x14ac:dyDescent="0.2">
      <c r="A101" s="110" t="s">
        <v>124</v>
      </c>
      <c r="B101" s="151">
        <v>8.4</v>
      </c>
      <c r="C101" s="112" t="s">
        <v>75</v>
      </c>
    </row>
    <row r="102" spans="1:3" x14ac:dyDescent="0.2">
      <c r="A102" s="110" t="s">
        <v>99</v>
      </c>
      <c r="B102" s="151">
        <v>18.5</v>
      </c>
      <c r="C102" s="112" t="s">
        <v>75</v>
      </c>
    </row>
    <row r="103" spans="1:3" x14ac:dyDescent="0.2">
      <c r="A103" s="110" t="s">
        <v>126</v>
      </c>
      <c r="B103" s="151">
        <v>19.899999999999999</v>
      </c>
      <c r="C103" s="112" t="s">
        <v>75</v>
      </c>
    </row>
    <row r="104" spans="1:3" x14ac:dyDescent="0.2">
      <c r="A104" s="110" t="s">
        <v>127</v>
      </c>
      <c r="B104" s="151">
        <v>24.8</v>
      </c>
      <c r="C104" s="112" t="s">
        <v>75</v>
      </c>
    </row>
    <row r="105" spans="1:3" x14ac:dyDescent="0.2">
      <c r="A105" s="110" t="s">
        <v>129</v>
      </c>
      <c r="B105" s="151">
        <v>44.3</v>
      </c>
      <c r="C105" s="112" t="s">
        <v>75</v>
      </c>
    </row>
    <row r="106" spans="1:3" x14ac:dyDescent="0.2">
      <c r="A106" s="110" t="s">
        <v>36</v>
      </c>
      <c r="B106" s="151">
        <v>35.299999999999997</v>
      </c>
      <c r="C106" s="112" t="s">
        <v>75</v>
      </c>
    </row>
    <row r="107" spans="1:3" x14ac:dyDescent="0.2">
      <c r="A107" s="110" t="s">
        <v>35</v>
      </c>
      <c r="B107" s="151">
        <v>18.600000000000001</v>
      </c>
      <c r="C107" s="112" t="s">
        <v>75</v>
      </c>
    </row>
    <row r="108" spans="1:3" x14ac:dyDescent="0.2">
      <c r="A108" s="110" t="s">
        <v>110</v>
      </c>
      <c r="B108" s="151">
        <v>29.8</v>
      </c>
      <c r="C108" s="112" t="s">
        <v>75</v>
      </c>
    </row>
    <row r="109" spans="1:3" x14ac:dyDescent="0.2">
      <c r="A109" s="110" t="s">
        <v>38</v>
      </c>
      <c r="B109" s="151">
        <v>33.200000000000003</v>
      </c>
      <c r="C109" s="112" t="s">
        <v>75</v>
      </c>
    </row>
    <row r="110" spans="1:3" x14ac:dyDescent="0.2">
      <c r="A110" s="110" t="s">
        <v>95</v>
      </c>
      <c r="B110" s="151">
        <v>23.5</v>
      </c>
      <c r="C110" s="112" t="s">
        <v>75</v>
      </c>
    </row>
    <row r="111" spans="1:3" x14ac:dyDescent="0.2">
      <c r="A111" s="110" t="s">
        <v>114</v>
      </c>
      <c r="B111" s="151">
        <v>5.0999999999999996</v>
      </c>
      <c r="C111" s="112" t="s">
        <v>75</v>
      </c>
    </row>
    <row r="112" spans="1:3" x14ac:dyDescent="0.2">
      <c r="A112" s="110" t="s">
        <v>125</v>
      </c>
      <c r="B112" s="151">
        <v>27.2</v>
      </c>
      <c r="C112" s="112" t="s">
        <v>75</v>
      </c>
    </row>
    <row r="113" spans="1:6" x14ac:dyDescent="0.2">
      <c r="A113" s="110" t="s">
        <v>39</v>
      </c>
      <c r="B113" s="151">
        <v>41.8</v>
      </c>
      <c r="C113" s="112" t="s">
        <v>75</v>
      </c>
    </row>
    <row r="114" spans="1:6" x14ac:dyDescent="0.2">
      <c r="A114" s="110" t="s">
        <v>44</v>
      </c>
      <c r="B114" s="151">
        <v>49</v>
      </c>
      <c r="C114" s="112" t="s">
        <v>75</v>
      </c>
    </row>
    <row r="115" spans="1:6" x14ac:dyDescent="0.2">
      <c r="A115" s="110" t="s">
        <v>34</v>
      </c>
      <c r="B115" s="151">
        <v>41.9</v>
      </c>
      <c r="C115" s="112" t="s">
        <v>75</v>
      </c>
    </row>
    <row r="116" spans="1:6" x14ac:dyDescent="0.2">
      <c r="A116" s="110" t="s">
        <v>41</v>
      </c>
      <c r="B116" s="112" t="s">
        <v>58</v>
      </c>
      <c r="C116" s="112" t="s">
        <v>75</v>
      </c>
    </row>
    <row r="118" spans="1:6" x14ac:dyDescent="0.2">
      <c r="A118" s="18" t="s">
        <v>54</v>
      </c>
      <c r="E118" s="18" t="s">
        <v>55</v>
      </c>
    </row>
    <row r="119" spans="1:6" x14ac:dyDescent="0.2">
      <c r="A119" s="18" t="s">
        <v>56</v>
      </c>
      <c r="B119" s="18" t="s">
        <v>57</v>
      </c>
      <c r="E119" s="18" t="s">
        <v>58</v>
      </c>
      <c r="F119" s="18" t="s">
        <v>59</v>
      </c>
    </row>
    <row r="120" spans="1:6" x14ac:dyDescent="0.2">
      <c r="A120" s="18" t="s">
        <v>60</v>
      </c>
      <c r="B120" s="18" t="s">
        <v>61</v>
      </c>
    </row>
    <row r="121" spans="1:6" x14ac:dyDescent="0.2">
      <c r="A121" s="18" t="s">
        <v>62</v>
      </c>
      <c r="B121" s="18" t="s">
        <v>63</v>
      </c>
    </row>
    <row r="122" spans="1:6" x14ac:dyDescent="0.2">
      <c r="A122" s="18" t="s">
        <v>64</v>
      </c>
      <c r="B122" s="18" t="s">
        <v>65</v>
      </c>
    </row>
    <row r="123" spans="1:6" x14ac:dyDescent="0.2">
      <c r="A123" s="18" t="s">
        <v>66</v>
      </c>
      <c r="B123" s="18" t="s">
        <v>67</v>
      </c>
    </row>
    <row r="124" spans="1:6" x14ac:dyDescent="0.2">
      <c r="A124" s="18" t="s">
        <v>68</v>
      </c>
      <c r="B124" s="18" t="s">
        <v>50</v>
      </c>
    </row>
    <row r="125" spans="1:6" x14ac:dyDescent="0.2">
      <c r="A125" s="18" t="s">
        <v>141</v>
      </c>
      <c r="B125" s="18" t="s">
        <v>142</v>
      </c>
    </row>
    <row r="126" spans="1:6" x14ac:dyDescent="0.2">
      <c r="A126" s="18" t="s">
        <v>143</v>
      </c>
      <c r="B126" s="18" t="s">
        <v>144</v>
      </c>
    </row>
    <row r="127" spans="1:6" x14ac:dyDescent="0.2">
      <c r="A127" s="18" t="s">
        <v>145</v>
      </c>
      <c r="B127" s="18" t="s">
        <v>146</v>
      </c>
    </row>
    <row r="128" spans="1:6" x14ac:dyDescent="0.2">
      <c r="A128" s="18" t="s">
        <v>147</v>
      </c>
      <c r="B128" s="18" t="s">
        <v>148</v>
      </c>
    </row>
    <row r="129" spans="1:2" x14ac:dyDescent="0.2">
      <c r="A129" s="18" t="s">
        <v>53</v>
      </c>
      <c r="B129" s="18" t="s">
        <v>149</v>
      </c>
    </row>
    <row r="130" spans="1:2" x14ac:dyDescent="0.2">
      <c r="A130" s="18" t="s">
        <v>150</v>
      </c>
      <c r="B130" s="18" t="s">
        <v>71</v>
      </c>
    </row>
  </sheetData>
  <mergeCells count="2">
    <mergeCell ref="G12:L14"/>
    <mergeCell ref="G44:M45"/>
  </mergeCells>
  <phoneticPr fontId="7" type="noConversion"/>
  <pageMargins left="0.75" right="0.75" top="1" bottom="1" header="0.5" footer="0.5"/>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0"/>
  <sheetViews>
    <sheetView topLeftCell="A26" workbookViewId="0">
      <selection activeCell="L33" sqref="L33"/>
    </sheetView>
  </sheetViews>
  <sheetFormatPr baseColWidth="10" defaultColWidth="10" defaultRowHeight="15" x14ac:dyDescent="0.2"/>
  <cols>
    <col min="1" max="1" width="20.1640625" style="115" customWidth="1"/>
    <col min="2" max="2" width="10" style="115"/>
    <col min="3" max="4" width="10.1640625" style="115" customWidth="1"/>
    <col min="5" max="5" width="14.1640625" style="115" customWidth="1"/>
    <col min="6" max="16384" width="10" style="115"/>
  </cols>
  <sheetData>
    <row r="1" spans="1:11" x14ac:dyDescent="0.2">
      <c r="A1" s="187" t="s">
        <v>418</v>
      </c>
      <c r="B1" s="188"/>
      <c r="C1" s="188"/>
      <c r="D1" s="188"/>
      <c r="E1" s="188"/>
      <c r="F1" s="188"/>
      <c r="G1" s="188"/>
      <c r="H1" s="188"/>
      <c r="I1" s="188"/>
      <c r="J1" s="188"/>
      <c r="K1" s="188"/>
    </row>
    <row r="2" spans="1:11" ht="60" x14ac:dyDescent="0.2">
      <c r="A2" s="179" t="s">
        <v>88</v>
      </c>
      <c r="B2" s="179" t="s">
        <v>419</v>
      </c>
      <c r="C2" s="179" t="s">
        <v>420</v>
      </c>
      <c r="D2" s="179" t="s">
        <v>421</v>
      </c>
      <c r="E2" s="179" t="s">
        <v>422</v>
      </c>
      <c r="F2" s="179" t="s">
        <v>423</v>
      </c>
      <c r="G2" s="120" t="s">
        <v>424</v>
      </c>
      <c r="H2" s="120" t="s">
        <v>18</v>
      </c>
    </row>
    <row r="3" spans="1:11" x14ac:dyDescent="0.2">
      <c r="A3" s="115" t="s">
        <v>130</v>
      </c>
      <c r="B3" s="115">
        <v>63</v>
      </c>
      <c r="C3" s="115">
        <v>72</v>
      </c>
      <c r="D3" s="115">
        <f>SUM(C3-B3)</f>
        <v>9</v>
      </c>
      <c r="E3" s="115">
        <v>66</v>
      </c>
      <c r="F3">
        <v>75</v>
      </c>
      <c r="G3" s="115">
        <f>SUM(F3-E3)</f>
        <v>9</v>
      </c>
      <c r="H3" s="115">
        <f>SUM(G3-D3)</f>
        <v>0</v>
      </c>
    </row>
    <row r="4" spans="1:11" x14ac:dyDescent="0.2">
      <c r="A4" s="115" t="s">
        <v>92</v>
      </c>
      <c r="B4" s="115">
        <v>66</v>
      </c>
      <c r="C4" s="115">
        <v>75</v>
      </c>
      <c r="D4" s="115">
        <f t="shared" ref="D4:D55" si="0">SUM(C4-B4)</f>
        <v>9</v>
      </c>
      <c r="E4" s="115">
        <v>68</v>
      </c>
      <c r="F4">
        <v>78</v>
      </c>
      <c r="G4" s="115">
        <f t="shared" ref="G4:G55" si="1">SUM(F4-E4)</f>
        <v>10</v>
      </c>
      <c r="H4" s="115">
        <f t="shared" ref="H4:H55" si="2">SUM(G4-D4)</f>
        <v>1</v>
      </c>
    </row>
    <row r="5" spans="1:11" x14ac:dyDescent="0.2">
      <c r="A5" s="115" t="s">
        <v>109</v>
      </c>
      <c r="B5" s="115">
        <v>67</v>
      </c>
      <c r="C5" s="115">
        <v>76</v>
      </c>
      <c r="D5" s="115">
        <f t="shared" si="0"/>
        <v>9</v>
      </c>
      <c r="E5" s="115">
        <v>71</v>
      </c>
      <c r="F5">
        <v>81</v>
      </c>
      <c r="G5" s="115">
        <f t="shared" si="1"/>
        <v>10</v>
      </c>
      <c r="H5" s="115">
        <f t="shared" si="2"/>
        <v>1</v>
      </c>
    </row>
    <row r="6" spans="1:11" x14ac:dyDescent="0.2">
      <c r="A6" s="115" t="s">
        <v>118</v>
      </c>
      <c r="B6" s="115">
        <v>60</v>
      </c>
      <c r="C6" s="115">
        <v>68</v>
      </c>
      <c r="D6" s="115">
        <f t="shared" si="0"/>
        <v>8</v>
      </c>
      <c r="E6" s="115">
        <v>64</v>
      </c>
      <c r="F6">
        <v>72</v>
      </c>
      <c r="G6" s="115">
        <f t="shared" si="1"/>
        <v>8</v>
      </c>
      <c r="H6" s="115">
        <f t="shared" si="2"/>
        <v>0</v>
      </c>
    </row>
    <row r="7" spans="1:11" x14ac:dyDescent="0.2">
      <c r="A7" s="115" t="s">
        <v>119</v>
      </c>
      <c r="B7" s="115">
        <v>66</v>
      </c>
      <c r="C7" s="115">
        <v>76</v>
      </c>
      <c r="D7" s="115">
        <f t="shared" si="0"/>
        <v>10</v>
      </c>
      <c r="E7" s="115">
        <v>68</v>
      </c>
      <c r="F7">
        <v>79</v>
      </c>
      <c r="G7" s="115">
        <f t="shared" si="1"/>
        <v>11</v>
      </c>
      <c r="H7" s="115">
        <f t="shared" si="2"/>
        <v>1</v>
      </c>
    </row>
    <row r="8" spans="1:11" x14ac:dyDescent="0.2">
      <c r="A8" s="115" t="s">
        <v>120</v>
      </c>
      <c r="B8" s="115">
        <v>68</v>
      </c>
      <c r="C8" s="115">
        <v>78</v>
      </c>
      <c r="D8" s="115">
        <f t="shared" si="0"/>
        <v>10</v>
      </c>
      <c r="E8" s="115">
        <v>70</v>
      </c>
      <c r="F8">
        <v>80</v>
      </c>
      <c r="G8" s="115">
        <f t="shared" si="1"/>
        <v>10</v>
      </c>
      <c r="H8" s="115">
        <f t="shared" si="2"/>
        <v>0</v>
      </c>
    </row>
    <row r="9" spans="1:11" x14ac:dyDescent="0.2">
      <c r="A9" s="115" t="s">
        <v>42</v>
      </c>
      <c r="B9" s="115">
        <v>65</v>
      </c>
      <c r="C9" s="115">
        <v>73</v>
      </c>
      <c r="D9" s="115">
        <f t="shared" si="0"/>
        <v>8</v>
      </c>
      <c r="E9" s="115">
        <v>67</v>
      </c>
      <c r="F9">
        <v>76</v>
      </c>
      <c r="G9" s="115">
        <f t="shared" si="1"/>
        <v>9</v>
      </c>
      <c r="H9" s="115">
        <f t="shared" si="2"/>
        <v>1</v>
      </c>
    </row>
    <row r="10" spans="1:11" x14ac:dyDescent="0.2">
      <c r="A10" s="115" t="s">
        <v>113</v>
      </c>
      <c r="B10" s="115">
        <v>67</v>
      </c>
      <c r="C10" s="115">
        <v>76</v>
      </c>
      <c r="D10" s="115">
        <f t="shared" si="0"/>
        <v>9</v>
      </c>
      <c r="E10" s="115">
        <v>69</v>
      </c>
      <c r="F10">
        <v>79</v>
      </c>
      <c r="G10" s="115">
        <f t="shared" si="1"/>
        <v>10</v>
      </c>
      <c r="H10" s="115">
        <f t="shared" si="2"/>
        <v>1</v>
      </c>
    </row>
    <row r="11" spans="1:11" x14ac:dyDescent="0.2">
      <c r="A11" s="115" t="s">
        <v>35</v>
      </c>
      <c r="B11" s="115">
        <v>68</v>
      </c>
      <c r="C11" s="115">
        <v>77</v>
      </c>
      <c r="D11" s="115">
        <f t="shared" si="0"/>
        <v>9</v>
      </c>
      <c r="E11" s="115">
        <v>70</v>
      </c>
      <c r="F11">
        <v>80</v>
      </c>
      <c r="G11" s="115">
        <f t="shared" si="1"/>
        <v>10</v>
      </c>
      <c r="H11" s="115">
        <f t="shared" si="2"/>
        <v>1</v>
      </c>
    </row>
    <row r="12" spans="1:11" x14ac:dyDescent="0.2">
      <c r="A12" s="115" t="s">
        <v>94</v>
      </c>
      <c r="B12" s="115">
        <v>66</v>
      </c>
      <c r="C12" s="115">
        <v>76</v>
      </c>
      <c r="D12" s="115">
        <f t="shared" si="0"/>
        <v>10</v>
      </c>
      <c r="E12" s="115">
        <v>68</v>
      </c>
      <c r="F12">
        <v>78</v>
      </c>
      <c r="G12" s="115">
        <f t="shared" si="1"/>
        <v>10</v>
      </c>
      <c r="H12" s="115">
        <f t="shared" si="2"/>
        <v>0</v>
      </c>
    </row>
    <row r="13" spans="1:11" x14ac:dyDescent="0.2">
      <c r="A13" s="115" t="s">
        <v>23</v>
      </c>
      <c r="B13" s="115">
        <v>73</v>
      </c>
      <c r="C13" s="115">
        <v>84</v>
      </c>
      <c r="D13" s="115">
        <f t="shared" si="0"/>
        <v>11</v>
      </c>
      <c r="E13" s="115">
        <v>75</v>
      </c>
      <c r="F13">
        <v>86</v>
      </c>
      <c r="G13" s="115">
        <f t="shared" si="1"/>
        <v>11</v>
      </c>
      <c r="H13" s="115">
        <f t="shared" si="2"/>
        <v>0</v>
      </c>
    </row>
    <row r="14" spans="1:11" x14ac:dyDescent="0.2">
      <c r="A14" s="115" t="s">
        <v>126</v>
      </c>
      <c r="B14" s="115">
        <v>68</v>
      </c>
      <c r="C14" s="115">
        <v>78</v>
      </c>
      <c r="D14" s="115">
        <f t="shared" si="0"/>
        <v>10</v>
      </c>
      <c r="E14" s="115">
        <v>71</v>
      </c>
      <c r="F14">
        <v>81</v>
      </c>
      <c r="G14" s="115">
        <f t="shared" si="1"/>
        <v>10</v>
      </c>
      <c r="H14" s="115">
        <f t="shared" si="2"/>
        <v>0</v>
      </c>
    </row>
    <row r="15" spans="1:11" x14ac:dyDescent="0.2">
      <c r="A15" s="115" t="s">
        <v>129</v>
      </c>
      <c r="B15" s="115">
        <v>66</v>
      </c>
      <c r="C15" s="115">
        <v>75</v>
      </c>
      <c r="D15" s="115">
        <f t="shared" si="0"/>
        <v>9</v>
      </c>
      <c r="E15" s="115">
        <v>69</v>
      </c>
      <c r="F15">
        <v>78</v>
      </c>
      <c r="G15" s="115">
        <f t="shared" si="1"/>
        <v>9</v>
      </c>
      <c r="H15" s="115">
        <f t="shared" si="2"/>
        <v>0</v>
      </c>
    </row>
    <row r="16" spans="1:11" x14ac:dyDescent="0.2">
      <c r="A16" s="115" t="s">
        <v>80</v>
      </c>
      <c r="B16" s="115">
        <v>72</v>
      </c>
      <c r="C16" s="115">
        <v>83</v>
      </c>
      <c r="D16" s="115">
        <f t="shared" si="0"/>
        <v>11</v>
      </c>
      <c r="E16" s="115">
        <v>74</v>
      </c>
      <c r="F16">
        <v>86</v>
      </c>
      <c r="G16" s="115">
        <f t="shared" si="1"/>
        <v>12</v>
      </c>
      <c r="H16" s="115">
        <f t="shared" si="2"/>
        <v>1</v>
      </c>
    </row>
    <row r="17" spans="1:8" x14ac:dyDescent="0.2">
      <c r="A17" s="115" t="s">
        <v>98</v>
      </c>
      <c r="B17" s="115">
        <v>65</v>
      </c>
      <c r="C17" s="115">
        <v>74</v>
      </c>
      <c r="D17" s="115">
        <f t="shared" si="0"/>
        <v>9</v>
      </c>
      <c r="E17" s="115">
        <v>66</v>
      </c>
      <c r="F17">
        <v>75</v>
      </c>
      <c r="G17" s="115">
        <f t="shared" si="1"/>
        <v>9</v>
      </c>
      <c r="H17" s="115">
        <f t="shared" si="2"/>
        <v>0</v>
      </c>
    </row>
    <row r="18" spans="1:8" x14ac:dyDescent="0.2">
      <c r="A18" s="115" t="s">
        <v>102</v>
      </c>
      <c r="B18" s="115">
        <v>71</v>
      </c>
      <c r="C18" s="115">
        <v>81</v>
      </c>
      <c r="D18" s="115">
        <f t="shared" si="0"/>
        <v>10</v>
      </c>
      <c r="E18" s="115">
        <v>73</v>
      </c>
      <c r="F18">
        <v>83</v>
      </c>
      <c r="G18" s="115">
        <f t="shared" si="1"/>
        <v>10</v>
      </c>
      <c r="H18" s="115">
        <f t="shared" si="2"/>
        <v>0</v>
      </c>
    </row>
    <row r="19" spans="1:8" x14ac:dyDescent="0.2">
      <c r="A19" s="115" t="s">
        <v>104</v>
      </c>
      <c r="B19" s="115">
        <v>66</v>
      </c>
      <c r="C19" s="115">
        <v>75</v>
      </c>
      <c r="D19" s="115">
        <f t="shared" si="0"/>
        <v>9</v>
      </c>
      <c r="E19" s="115">
        <v>68</v>
      </c>
      <c r="F19">
        <v>78</v>
      </c>
      <c r="G19" s="115">
        <f t="shared" si="1"/>
        <v>10</v>
      </c>
      <c r="H19" s="115">
        <f t="shared" si="2"/>
        <v>1</v>
      </c>
    </row>
    <row r="20" spans="1:8" x14ac:dyDescent="0.2">
      <c r="A20" s="115" t="s">
        <v>81</v>
      </c>
      <c r="B20" s="115">
        <v>68</v>
      </c>
      <c r="C20" s="115">
        <v>78</v>
      </c>
      <c r="D20" s="115">
        <f t="shared" si="0"/>
        <v>10</v>
      </c>
      <c r="E20" s="115">
        <v>70</v>
      </c>
      <c r="F20">
        <v>81</v>
      </c>
      <c r="G20" s="115">
        <f t="shared" si="1"/>
        <v>11</v>
      </c>
      <c r="H20" s="115">
        <f t="shared" si="2"/>
        <v>1</v>
      </c>
    </row>
    <row r="21" spans="1:8" x14ac:dyDescent="0.2">
      <c r="A21" s="115" t="s">
        <v>107</v>
      </c>
      <c r="B21" s="115">
        <v>69</v>
      </c>
      <c r="C21" s="115">
        <v>78</v>
      </c>
      <c r="D21" s="115">
        <f t="shared" si="0"/>
        <v>9</v>
      </c>
      <c r="E21" s="115">
        <v>71</v>
      </c>
      <c r="F21">
        <v>81</v>
      </c>
      <c r="G21" s="115">
        <f t="shared" si="1"/>
        <v>10</v>
      </c>
      <c r="H21" s="115">
        <f t="shared" si="2"/>
        <v>1</v>
      </c>
    </row>
    <row r="22" spans="1:8" x14ac:dyDescent="0.2">
      <c r="A22" s="115" t="s">
        <v>110</v>
      </c>
      <c r="B22" s="115">
        <v>71</v>
      </c>
      <c r="C22" s="115">
        <v>81</v>
      </c>
      <c r="D22" s="115">
        <f t="shared" si="0"/>
        <v>10</v>
      </c>
      <c r="E22" s="115">
        <v>73</v>
      </c>
      <c r="F22">
        <v>84</v>
      </c>
      <c r="G22" s="115">
        <f t="shared" si="1"/>
        <v>11</v>
      </c>
      <c r="H22" s="115">
        <f t="shared" si="2"/>
        <v>1</v>
      </c>
    </row>
    <row r="23" spans="1:8" x14ac:dyDescent="0.2">
      <c r="A23" s="115" t="s">
        <v>111</v>
      </c>
      <c r="B23" s="115">
        <v>72</v>
      </c>
      <c r="C23" s="115">
        <v>83</v>
      </c>
      <c r="D23" s="115">
        <f t="shared" si="0"/>
        <v>11</v>
      </c>
      <c r="E23" s="115">
        <v>74</v>
      </c>
      <c r="F23">
        <v>85</v>
      </c>
      <c r="G23" s="115">
        <f t="shared" si="1"/>
        <v>11</v>
      </c>
      <c r="H23" s="115">
        <f t="shared" si="2"/>
        <v>0</v>
      </c>
    </row>
    <row r="24" spans="1:8" x14ac:dyDescent="0.2">
      <c r="A24" s="115" t="s">
        <v>22</v>
      </c>
      <c r="B24" s="115">
        <v>60</v>
      </c>
      <c r="C24" s="115">
        <v>69</v>
      </c>
      <c r="D24" s="115">
        <f t="shared" si="0"/>
        <v>9</v>
      </c>
      <c r="E24" s="115">
        <v>63</v>
      </c>
      <c r="F24">
        <v>73</v>
      </c>
      <c r="G24" s="115">
        <f t="shared" si="1"/>
        <v>10</v>
      </c>
      <c r="H24" s="115">
        <f t="shared" si="2"/>
        <v>1</v>
      </c>
    </row>
    <row r="25" spans="1:8" x14ac:dyDescent="0.2">
      <c r="A25" s="115" t="s">
        <v>127</v>
      </c>
      <c r="B25" s="115">
        <v>70</v>
      </c>
      <c r="C25" s="115">
        <v>80</v>
      </c>
      <c r="D25" s="115">
        <f t="shared" si="0"/>
        <v>10</v>
      </c>
      <c r="E25" s="115">
        <v>73</v>
      </c>
      <c r="F25">
        <v>84</v>
      </c>
      <c r="G25" s="115">
        <f t="shared" si="1"/>
        <v>11</v>
      </c>
      <c r="H25" s="115">
        <f t="shared" si="2"/>
        <v>1</v>
      </c>
    </row>
    <row r="26" spans="1:8" x14ac:dyDescent="0.2">
      <c r="A26" s="115" t="s">
        <v>385</v>
      </c>
      <c r="B26" s="115">
        <v>62</v>
      </c>
      <c r="C26" s="115">
        <v>71</v>
      </c>
      <c r="D26" s="115">
        <f t="shared" si="0"/>
        <v>9</v>
      </c>
      <c r="E26" s="115">
        <v>66</v>
      </c>
      <c r="F26">
        <v>75</v>
      </c>
      <c r="G26" s="115">
        <f t="shared" si="1"/>
        <v>9</v>
      </c>
      <c r="H26" s="115">
        <f t="shared" si="2"/>
        <v>0</v>
      </c>
    </row>
    <row r="27" spans="1:8" x14ac:dyDescent="0.2">
      <c r="A27" s="115" t="s">
        <v>33</v>
      </c>
      <c r="B27" s="115">
        <v>74</v>
      </c>
      <c r="C27" s="115">
        <v>85</v>
      </c>
      <c r="D27" s="115">
        <f t="shared" si="0"/>
        <v>11</v>
      </c>
      <c r="E27" s="115">
        <v>73</v>
      </c>
      <c r="F27">
        <v>84</v>
      </c>
      <c r="G27" s="115">
        <f t="shared" si="1"/>
        <v>11</v>
      </c>
      <c r="H27" s="115">
        <f t="shared" si="2"/>
        <v>0</v>
      </c>
    </row>
    <row r="28" spans="1:8" x14ac:dyDescent="0.2">
      <c r="A28" s="115" t="s">
        <v>36</v>
      </c>
      <c r="B28" s="115">
        <v>69</v>
      </c>
      <c r="C28" s="115">
        <v>80</v>
      </c>
      <c r="D28" s="115">
        <f t="shared" si="0"/>
        <v>11</v>
      </c>
      <c r="E28" s="115">
        <v>73</v>
      </c>
      <c r="F28">
        <v>83</v>
      </c>
      <c r="G28" s="115">
        <f t="shared" si="1"/>
        <v>10</v>
      </c>
      <c r="H28" s="115">
        <f t="shared" si="2"/>
        <v>-1</v>
      </c>
    </row>
    <row r="29" spans="1:8" x14ac:dyDescent="0.2">
      <c r="A29" s="115" t="s">
        <v>37</v>
      </c>
      <c r="B29" s="115">
        <v>73</v>
      </c>
      <c r="C29" s="115">
        <v>83</v>
      </c>
      <c r="D29" s="115">
        <f t="shared" si="0"/>
        <v>10</v>
      </c>
      <c r="E29" s="115">
        <v>75</v>
      </c>
      <c r="F29">
        <v>85</v>
      </c>
      <c r="G29" s="115">
        <f t="shared" si="1"/>
        <v>10</v>
      </c>
      <c r="H29" s="115">
        <f t="shared" si="2"/>
        <v>0</v>
      </c>
    </row>
    <row r="30" spans="1:8" x14ac:dyDescent="0.2">
      <c r="A30" s="115" t="s">
        <v>41</v>
      </c>
      <c r="B30" s="115">
        <v>63</v>
      </c>
      <c r="C30" s="115">
        <v>74</v>
      </c>
      <c r="D30" s="115">
        <f t="shared" si="0"/>
        <v>11</v>
      </c>
      <c r="E30" s="115">
        <v>67</v>
      </c>
      <c r="F30">
        <v>78</v>
      </c>
      <c r="G30" s="115">
        <f t="shared" si="1"/>
        <v>11</v>
      </c>
      <c r="H30" s="115">
        <f t="shared" si="2"/>
        <v>0</v>
      </c>
    </row>
    <row r="31" spans="1:8" x14ac:dyDescent="0.2">
      <c r="A31" s="115" t="s">
        <v>83</v>
      </c>
      <c r="B31" s="115">
        <v>57</v>
      </c>
      <c r="C31" s="115">
        <v>65</v>
      </c>
      <c r="D31" s="115">
        <f t="shared" si="0"/>
        <v>8</v>
      </c>
      <c r="E31" s="115">
        <v>59</v>
      </c>
      <c r="F31">
        <v>67</v>
      </c>
      <c r="G31" s="115">
        <f t="shared" si="1"/>
        <v>8</v>
      </c>
      <c r="H31" s="115">
        <f t="shared" si="2"/>
        <v>0</v>
      </c>
    </row>
    <row r="32" spans="1:8" x14ac:dyDescent="0.2">
      <c r="A32" s="115" t="s">
        <v>97</v>
      </c>
      <c r="B32" s="115">
        <v>64</v>
      </c>
      <c r="C32" s="115">
        <v>73</v>
      </c>
      <c r="D32" s="115">
        <f t="shared" si="0"/>
        <v>9</v>
      </c>
      <c r="E32" s="115">
        <v>66</v>
      </c>
      <c r="F32">
        <v>75</v>
      </c>
      <c r="G32" s="115">
        <f t="shared" si="1"/>
        <v>9</v>
      </c>
      <c r="H32" s="115">
        <f t="shared" si="2"/>
        <v>0</v>
      </c>
    </row>
    <row r="33" spans="1:8" x14ac:dyDescent="0.2">
      <c r="A33" s="115" t="s">
        <v>99</v>
      </c>
      <c r="B33" s="115">
        <v>71</v>
      </c>
      <c r="C33" s="115">
        <v>81</v>
      </c>
      <c r="D33" s="115">
        <f t="shared" si="0"/>
        <v>10</v>
      </c>
      <c r="E33" s="115">
        <v>73</v>
      </c>
      <c r="F33">
        <v>83</v>
      </c>
      <c r="G33" s="115">
        <f t="shared" si="1"/>
        <v>10</v>
      </c>
      <c r="H33" s="115">
        <f t="shared" si="2"/>
        <v>0</v>
      </c>
    </row>
    <row r="34" spans="1:8" x14ac:dyDescent="0.2">
      <c r="A34" s="115" t="s">
        <v>100</v>
      </c>
      <c r="B34" s="115">
        <v>60</v>
      </c>
      <c r="C34" s="115">
        <v>69</v>
      </c>
      <c r="D34" s="115">
        <f t="shared" si="0"/>
        <v>9</v>
      </c>
      <c r="E34" s="115">
        <v>65</v>
      </c>
      <c r="F34">
        <v>75</v>
      </c>
      <c r="G34" s="115">
        <f t="shared" si="1"/>
        <v>10</v>
      </c>
      <c r="H34" s="115">
        <f t="shared" si="2"/>
        <v>1</v>
      </c>
    </row>
    <row r="35" spans="1:8" x14ac:dyDescent="0.2">
      <c r="A35" s="115" t="s">
        <v>384</v>
      </c>
      <c r="B35" s="115">
        <v>68</v>
      </c>
      <c r="C35" s="115">
        <v>78</v>
      </c>
      <c r="D35" s="115">
        <f t="shared" si="0"/>
        <v>10</v>
      </c>
      <c r="E35" s="115">
        <v>70</v>
      </c>
      <c r="F35">
        <v>80</v>
      </c>
      <c r="G35" s="115">
        <f t="shared" si="1"/>
        <v>10</v>
      </c>
      <c r="H35" s="115">
        <f t="shared" si="2"/>
        <v>0</v>
      </c>
    </row>
    <row r="36" spans="1:8" x14ac:dyDescent="0.2">
      <c r="A36" s="115" t="s">
        <v>108</v>
      </c>
      <c r="B36" s="115">
        <v>70</v>
      </c>
      <c r="C36" s="115">
        <v>79</v>
      </c>
      <c r="D36" s="115">
        <f t="shared" si="0"/>
        <v>9</v>
      </c>
      <c r="E36" s="115">
        <v>72</v>
      </c>
      <c r="F36">
        <v>82</v>
      </c>
      <c r="G36" s="115">
        <f t="shared" si="1"/>
        <v>10</v>
      </c>
      <c r="H36" s="115">
        <f t="shared" si="2"/>
        <v>1</v>
      </c>
    </row>
    <row r="37" spans="1:8" x14ac:dyDescent="0.2">
      <c r="A37" s="115" t="s">
        <v>82</v>
      </c>
      <c r="B37" s="115">
        <v>71</v>
      </c>
      <c r="C37" s="115">
        <v>81</v>
      </c>
      <c r="D37" s="115">
        <f t="shared" si="0"/>
        <v>10</v>
      </c>
      <c r="E37" s="115">
        <v>73</v>
      </c>
      <c r="F37">
        <v>83</v>
      </c>
      <c r="G37" s="115">
        <f t="shared" si="1"/>
        <v>10</v>
      </c>
      <c r="H37" s="115">
        <f t="shared" si="2"/>
        <v>0</v>
      </c>
    </row>
    <row r="38" spans="1:8" x14ac:dyDescent="0.2">
      <c r="A38" s="115" t="s">
        <v>115</v>
      </c>
      <c r="B38" s="115">
        <v>70</v>
      </c>
      <c r="C38" s="115">
        <v>79</v>
      </c>
      <c r="D38" s="115">
        <f t="shared" si="0"/>
        <v>9</v>
      </c>
      <c r="E38" s="115">
        <v>73</v>
      </c>
      <c r="F38">
        <v>83</v>
      </c>
      <c r="G38" s="115">
        <f t="shared" si="1"/>
        <v>10</v>
      </c>
      <c r="H38" s="115">
        <f t="shared" si="2"/>
        <v>1</v>
      </c>
    </row>
    <row r="39" spans="1:8" x14ac:dyDescent="0.2">
      <c r="A39" s="115" t="s">
        <v>117</v>
      </c>
      <c r="B39" s="115">
        <v>72</v>
      </c>
      <c r="C39" s="115">
        <v>83</v>
      </c>
      <c r="D39" s="115">
        <f t="shared" si="0"/>
        <v>11</v>
      </c>
      <c r="E39" s="115">
        <v>74</v>
      </c>
      <c r="F39">
        <v>85</v>
      </c>
      <c r="G39" s="115">
        <f t="shared" si="1"/>
        <v>11</v>
      </c>
      <c r="H39" s="115">
        <f t="shared" si="2"/>
        <v>0</v>
      </c>
    </row>
    <row r="40" spans="1:8" x14ac:dyDescent="0.2">
      <c r="A40" s="115" t="s">
        <v>121</v>
      </c>
      <c r="B40" s="115">
        <v>71</v>
      </c>
      <c r="C40" s="115">
        <v>81</v>
      </c>
      <c r="D40" s="115">
        <f t="shared" si="0"/>
        <v>10</v>
      </c>
      <c r="E40" s="115">
        <v>73</v>
      </c>
      <c r="F40">
        <v>84</v>
      </c>
      <c r="G40" s="115">
        <f t="shared" si="1"/>
        <v>11</v>
      </c>
      <c r="H40" s="115">
        <f t="shared" si="2"/>
        <v>1</v>
      </c>
    </row>
    <row r="41" spans="1:8" x14ac:dyDescent="0.2">
      <c r="A41" s="115" t="s">
        <v>125</v>
      </c>
      <c r="B41" s="115">
        <v>71</v>
      </c>
      <c r="C41" s="115">
        <v>82</v>
      </c>
      <c r="D41" s="115">
        <f t="shared" si="0"/>
        <v>11</v>
      </c>
      <c r="E41" s="115">
        <v>72</v>
      </c>
      <c r="F41">
        <v>84</v>
      </c>
      <c r="G41" s="115">
        <f t="shared" si="1"/>
        <v>12</v>
      </c>
      <c r="H41" s="115">
        <f t="shared" si="2"/>
        <v>1</v>
      </c>
    </row>
    <row r="42" spans="1:8" x14ac:dyDescent="0.2">
      <c r="A42" s="115" t="s">
        <v>34</v>
      </c>
      <c r="B42" s="115">
        <v>65</v>
      </c>
      <c r="C42" s="115">
        <v>75</v>
      </c>
      <c r="D42" s="115">
        <f t="shared" si="0"/>
        <v>10</v>
      </c>
      <c r="E42" s="115">
        <v>67</v>
      </c>
      <c r="F42">
        <v>77</v>
      </c>
      <c r="G42" s="115">
        <f t="shared" si="1"/>
        <v>10</v>
      </c>
      <c r="H42" s="115">
        <f t="shared" si="2"/>
        <v>0</v>
      </c>
    </row>
    <row r="43" spans="1:8" x14ac:dyDescent="0.2">
      <c r="A43" s="115" t="s">
        <v>39</v>
      </c>
      <c r="B43" s="115">
        <v>72</v>
      </c>
      <c r="C43" s="115">
        <v>83</v>
      </c>
      <c r="D43" s="115">
        <f t="shared" si="0"/>
        <v>11</v>
      </c>
      <c r="E43" s="115">
        <v>74</v>
      </c>
      <c r="F43">
        <v>85</v>
      </c>
      <c r="G43" s="115">
        <f t="shared" si="1"/>
        <v>11</v>
      </c>
      <c r="H43" s="115">
        <f t="shared" si="2"/>
        <v>0</v>
      </c>
    </row>
    <row r="44" spans="1:8" x14ac:dyDescent="0.2">
      <c r="A44" s="115" t="s">
        <v>155</v>
      </c>
      <c r="B44" s="115">
        <v>60</v>
      </c>
      <c r="C44" s="115">
        <v>69</v>
      </c>
      <c r="D44" s="115">
        <f t="shared" si="0"/>
        <v>9</v>
      </c>
      <c r="E44" s="115">
        <v>62</v>
      </c>
      <c r="F44">
        <v>72</v>
      </c>
      <c r="G44" s="115">
        <f t="shared" si="1"/>
        <v>10</v>
      </c>
      <c r="H44" s="115">
        <f t="shared" si="2"/>
        <v>1</v>
      </c>
    </row>
    <row r="45" spans="1:8" x14ac:dyDescent="0.2">
      <c r="A45" s="115" t="s">
        <v>32</v>
      </c>
      <c r="B45" s="115">
        <v>71</v>
      </c>
      <c r="C45" s="115">
        <v>81</v>
      </c>
      <c r="D45" s="115">
        <f t="shared" si="0"/>
        <v>10</v>
      </c>
      <c r="E45" s="115">
        <v>73</v>
      </c>
      <c r="F45">
        <v>83</v>
      </c>
      <c r="G45" s="115">
        <f t="shared" si="1"/>
        <v>10</v>
      </c>
      <c r="H45" s="115">
        <f t="shared" si="2"/>
        <v>0</v>
      </c>
    </row>
    <row r="46" spans="1:8" x14ac:dyDescent="0.2">
      <c r="A46" s="115" t="s">
        <v>114</v>
      </c>
      <c r="B46" s="115">
        <v>72</v>
      </c>
      <c r="C46" s="115">
        <v>82</v>
      </c>
      <c r="D46" s="115">
        <f t="shared" si="0"/>
        <v>10</v>
      </c>
      <c r="E46" s="115">
        <v>73</v>
      </c>
      <c r="F46">
        <v>84</v>
      </c>
      <c r="G46" s="115">
        <f t="shared" si="1"/>
        <v>11</v>
      </c>
      <c r="H46" s="115">
        <f t="shared" si="2"/>
        <v>1</v>
      </c>
    </row>
    <row r="47" spans="1:8" x14ac:dyDescent="0.2">
      <c r="A47" s="115" t="s">
        <v>116</v>
      </c>
      <c r="B47" s="115">
        <v>71</v>
      </c>
      <c r="C47" s="115">
        <v>81</v>
      </c>
      <c r="D47" s="115">
        <f t="shared" si="0"/>
        <v>10</v>
      </c>
      <c r="E47" s="115">
        <v>73</v>
      </c>
      <c r="F47">
        <v>84</v>
      </c>
      <c r="G47" s="115">
        <f t="shared" si="1"/>
        <v>11</v>
      </c>
      <c r="H47" s="115">
        <f t="shared" si="2"/>
        <v>1</v>
      </c>
    </row>
    <row r="48" spans="1:8" x14ac:dyDescent="0.2">
      <c r="A48" s="115" t="s">
        <v>122</v>
      </c>
      <c r="B48" s="115">
        <v>70</v>
      </c>
      <c r="C48" s="115">
        <v>80</v>
      </c>
      <c r="D48" s="115">
        <f t="shared" si="0"/>
        <v>10</v>
      </c>
      <c r="E48" s="115">
        <v>72</v>
      </c>
      <c r="F48">
        <v>83</v>
      </c>
      <c r="G48" s="115">
        <f t="shared" si="1"/>
        <v>11</v>
      </c>
      <c r="H48" s="115">
        <f t="shared" si="2"/>
        <v>1</v>
      </c>
    </row>
    <row r="49" spans="1:12" x14ac:dyDescent="0.2">
      <c r="A49" s="115" t="s">
        <v>123</v>
      </c>
      <c r="B49" s="115">
        <v>66</v>
      </c>
      <c r="C49" s="115">
        <v>77</v>
      </c>
      <c r="D49" s="115">
        <f t="shared" si="0"/>
        <v>11</v>
      </c>
      <c r="E49" s="115">
        <v>67</v>
      </c>
      <c r="F49">
        <v>78</v>
      </c>
      <c r="G49" s="115">
        <f t="shared" si="1"/>
        <v>11</v>
      </c>
      <c r="H49" s="115">
        <f t="shared" si="2"/>
        <v>0</v>
      </c>
    </row>
    <row r="50" spans="1:12" x14ac:dyDescent="0.2">
      <c r="A50" s="115" t="s">
        <v>124</v>
      </c>
      <c r="B50" s="115">
        <v>70</v>
      </c>
      <c r="C50" s="115">
        <v>81</v>
      </c>
      <c r="D50" s="115">
        <f t="shared" si="0"/>
        <v>11</v>
      </c>
      <c r="E50" s="115">
        <v>72</v>
      </c>
      <c r="F50">
        <v>83</v>
      </c>
      <c r="G50" s="115">
        <f t="shared" si="1"/>
        <v>11</v>
      </c>
      <c r="H50" s="115">
        <f t="shared" si="2"/>
        <v>0</v>
      </c>
    </row>
    <row r="51" spans="1:12" x14ac:dyDescent="0.2">
      <c r="A51" s="115" t="s">
        <v>38</v>
      </c>
      <c r="B51" s="115">
        <v>72</v>
      </c>
      <c r="C51" s="115">
        <v>82</v>
      </c>
      <c r="D51" s="115">
        <f t="shared" si="0"/>
        <v>10</v>
      </c>
      <c r="E51" s="115">
        <v>73</v>
      </c>
      <c r="F51">
        <v>84</v>
      </c>
      <c r="G51" s="115">
        <f t="shared" si="1"/>
        <v>11</v>
      </c>
      <c r="H51" s="115">
        <f t="shared" si="2"/>
        <v>1</v>
      </c>
    </row>
    <row r="52" spans="1:12" x14ac:dyDescent="0.2">
      <c r="A52" s="115" t="s">
        <v>85</v>
      </c>
      <c r="B52" s="115">
        <v>66</v>
      </c>
      <c r="C52" s="115">
        <v>76</v>
      </c>
      <c r="D52" s="115">
        <f t="shared" si="0"/>
        <v>10</v>
      </c>
      <c r="E52" s="115">
        <v>68</v>
      </c>
      <c r="F52">
        <v>78</v>
      </c>
      <c r="G52" s="115">
        <f t="shared" si="1"/>
        <v>10</v>
      </c>
      <c r="H52" s="115">
        <f t="shared" si="2"/>
        <v>0</v>
      </c>
    </row>
    <row r="53" spans="1:12" x14ac:dyDescent="0.2">
      <c r="A53" s="115" t="s">
        <v>95</v>
      </c>
      <c r="B53" s="115">
        <v>70</v>
      </c>
      <c r="C53" s="115">
        <v>80</v>
      </c>
      <c r="D53" s="115">
        <f t="shared" si="0"/>
        <v>10</v>
      </c>
      <c r="E53" s="115">
        <v>72</v>
      </c>
      <c r="F53">
        <v>83</v>
      </c>
      <c r="G53" s="115">
        <f t="shared" si="1"/>
        <v>11</v>
      </c>
      <c r="H53" s="115">
        <f t="shared" si="2"/>
        <v>1</v>
      </c>
    </row>
    <row r="54" spans="1:12" x14ac:dyDescent="0.2">
      <c r="A54" s="115" t="s">
        <v>106</v>
      </c>
      <c r="B54" s="115">
        <v>71</v>
      </c>
      <c r="C54" s="115">
        <v>79</v>
      </c>
      <c r="D54" s="115">
        <f t="shared" si="0"/>
        <v>8</v>
      </c>
      <c r="E54" s="115">
        <v>76</v>
      </c>
      <c r="F54">
        <v>84</v>
      </c>
      <c r="G54" s="115">
        <f t="shared" si="1"/>
        <v>8</v>
      </c>
      <c r="H54" s="115">
        <f t="shared" si="2"/>
        <v>0</v>
      </c>
    </row>
    <row r="55" spans="1:12" x14ac:dyDescent="0.2">
      <c r="A55" s="115" t="s">
        <v>40</v>
      </c>
      <c r="B55" s="115">
        <v>57</v>
      </c>
      <c r="C55" s="115">
        <v>65</v>
      </c>
      <c r="D55" s="115">
        <f t="shared" si="0"/>
        <v>8</v>
      </c>
      <c r="E55" s="115">
        <v>60</v>
      </c>
      <c r="F55">
        <v>69</v>
      </c>
      <c r="G55" s="115">
        <f t="shared" si="1"/>
        <v>9</v>
      </c>
      <c r="H55" s="115">
        <f t="shared" si="2"/>
        <v>1</v>
      </c>
    </row>
    <row r="57" spans="1:12" x14ac:dyDescent="0.2">
      <c r="A57" s="115" t="s">
        <v>233</v>
      </c>
    </row>
    <row r="58" spans="1:12" ht="45" x14ac:dyDescent="0.2">
      <c r="A58" s="115" t="s">
        <v>234</v>
      </c>
    </row>
    <row r="60" spans="1:12" x14ac:dyDescent="0.2">
      <c r="K60" s="117"/>
      <c r="L60" s="116"/>
    </row>
  </sheetData>
  <mergeCells count="1">
    <mergeCell ref="A1:K1"/>
  </mergeCells>
  <phoneticPr fontId="7"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zoomScaleNormal="60" zoomScalePageLayoutView="60" workbookViewId="0">
      <selection activeCell="E18" sqref="E18"/>
    </sheetView>
  </sheetViews>
  <sheetFormatPr baseColWidth="10" defaultColWidth="8.83203125" defaultRowHeight="15" x14ac:dyDescent="0.2"/>
  <cols>
    <col min="1" max="1" width="19.5" customWidth="1"/>
    <col min="6" max="6" width="4.5" customWidth="1"/>
  </cols>
  <sheetData>
    <row r="1" spans="1:21" ht="32.25" customHeight="1" x14ac:dyDescent="0.2">
      <c r="A1" s="8" t="s">
        <v>86</v>
      </c>
      <c r="B1" s="255"/>
      <c r="C1" s="255"/>
      <c r="D1" s="255"/>
      <c r="E1" s="255"/>
      <c r="F1" s="255"/>
      <c r="G1" s="255"/>
      <c r="H1" s="255"/>
      <c r="I1" s="255"/>
      <c r="J1" s="256"/>
    </row>
    <row r="2" spans="1:21" ht="43.5" customHeight="1" x14ac:dyDescent="0.2">
      <c r="C2" s="257" t="s">
        <v>87</v>
      </c>
      <c r="D2" s="258"/>
      <c r="E2" s="258"/>
      <c r="F2" s="259"/>
      <c r="K2" s="212" t="s">
        <v>20</v>
      </c>
      <c r="L2" s="212"/>
      <c r="M2" s="212"/>
      <c r="N2" s="212"/>
      <c r="O2" s="212"/>
      <c r="P2" s="212"/>
      <c r="Q2" s="212"/>
      <c r="R2" s="212"/>
      <c r="S2" s="212"/>
      <c r="T2" s="212"/>
      <c r="U2" s="212"/>
    </row>
    <row r="3" spans="1:21" x14ac:dyDescent="0.2">
      <c r="A3" s="9" t="s">
        <v>88</v>
      </c>
      <c r="C3" s="10" t="s">
        <v>90</v>
      </c>
      <c r="E3" s="10" t="s">
        <v>89</v>
      </c>
    </row>
    <row r="4" spans="1:21" x14ac:dyDescent="0.2">
      <c r="A4" s="11" t="s">
        <v>97</v>
      </c>
      <c r="C4" s="12">
        <v>22</v>
      </c>
      <c r="E4" s="12">
        <v>35.9</v>
      </c>
    </row>
    <row r="5" spans="1:21" x14ac:dyDescent="0.2">
      <c r="A5" s="11" t="s">
        <v>98</v>
      </c>
      <c r="C5" s="12">
        <v>8.9</v>
      </c>
      <c r="E5" s="12">
        <v>15.8</v>
      </c>
    </row>
    <row r="6" spans="1:21" x14ac:dyDescent="0.2">
      <c r="A6" s="11" t="s">
        <v>100</v>
      </c>
      <c r="C6" s="12">
        <v>5.3</v>
      </c>
      <c r="E6" s="12">
        <v>4.8</v>
      </c>
    </row>
    <row r="7" spans="1:21" x14ac:dyDescent="0.2">
      <c r="A7" s="11" t="s">
        <v>92</v>
      </c>
      <c r="C7" s="12">
        <v>50.9</v>
      </c>
      <c r="E7" s="12">
        <v>56.1</v>
      </c>
    </row>
    <row r="8" spans="1:21" x14ac:dyDescent="0.2">
      <c r="A8" s="11" t="s">
        <v>93</v>
      </c>
      <c r="C8" s="12">
        <v>47.4</v>
      </c>
      <c r="E8" s="12">
        <v>47.6</v>
      </c>
    </row>
    <row r="9" spans="1:21" x14ac:dyDescent="0.2">
      <c r="A9" s="11" t="s">
        <v>118</v>
      </c>
      <c r="C9" s="12">
        <v>34.1</v>
      </c>
      <c r="E9" s="12">
        <v>36.200000000000003</v>
      </c>
    </row>
    <row r="10" spans="1:21" x14ac:dyDescent="0.2">
      <c r="A10" s="11" t="s">
        <v>128</v>
      </c>
      <c r="C10" s="12">
        <v>39.1</v>
      </c>
      <c r="E10" s="12">
        <v>42.2</v>
      </c>
    </row>
    <row r="11" spans="1:21" x14ac:dyDescent="0.2">
      <c r="A11" s="11" t="s">
        <v>34</v>
      </c>
      <c r="C11" s="12">
        <v>47.6</v>
      </c>
      <c r="E11" s="12">
        <v>54.1</v>
      </c>
    </row>
    <row r="12" spans="1:21" x14ac:dyDescent="0.2">
      <c r="A12" s="11" t="s">
        <v>40</v>
      </c>
      <c r="C12" s="12" t="s">
        <v>91</v>
      </c>
      <c r="E12" s="12">
        <v>8.6999999999999993</v>
      </c>
    </row>
    <row r="13" spans="1:21" x14ac:dyDescent="0.2">
      <c r="A13" s="11" t="s">
        <v>42</v>
      </c>
      <c r="C13" s="12">
        <v>45.8</v>
      </c>
      <c r="E13" s="12">
        <v>49.9</v>
      </c>
    </row>
    <row r="14" spans="1:21" x14ac:dyDescent="0.2">
      <c r="A14" s="11" t="s">
        <v>155</v>
      </c>
      <c r="C14" s="12" t="s">
        <v>91</v>
      </c>
      <c r="E14" s="12">
        <v>31</v>
      </c>
    </row>
    <row r="22" spans="11:21" x14ac:dyDescent="0.2">
      <c r="K22" s="191" t="s">
        <v>19</v>
      </c>
      <c r="L22" s="192"/>
      <c r="M22" s="192"/>
      <c r="N22" s="192"/>
      <c r="O22" s="192"/>
      <c r="P22" s="192"/>
      <c r="Q22" s="192"/>
      <c r="R22" s="192"/>
      <c r="S22" s="192"/>
      <c r="T22" s="192"/>
      <c r="U22" s="192"/>
    </row>
    <row r="23" spans="11:21" x14ac:dyDescent="0.2">
      <c r="K23" s="192"/>
      <c r="L23" s="192"/>
      <c r="M23" s="192"/>
      <c r="N23" s="192"/>
      <c r="O23" s="192"/>
      <c r="P23" s="192"/>
      <c r="Q23" s="192"/>
      <c r="R23" s="192"/>
      <c r="S23" s="192"/>
      <c r="T23" s="192"/>
      <c r="U23" s="192"/>
    </row>
    <row r="24" spans="11:21" x14ac:dyDescent="0.2">
      <c r="K24" s="192"/>
      <c r="L24" s="192"/>
      <c r="M24" s="192"/>
      <c r="N24" s="192"/>
      <c r="O24" s="192"/>
      <c r="P24" s="192"/>
      <c r="Q24" s="192"/>
      <c r="R24" s="192"/>
      <c r="S24" s="192"/>
      <c r="T24" s="192"/>
      <c r="U24" s="192"/>
    </row>
    <row r="25" spans="11:21" x14ac:dyDescent="0.2">
      <c r="K25" s="192"/>
      <c r="L25" s="192"/>
      <c r="M25" s="192"/>
      <c r="N25" s="192"/>
      <c r="O25" s="192"/>
      <c r="P25" s="192"/>
      <c r="Q25" s="192"/>
      <c r="R25" s="192"/>
      <c r="S25" s="192"/>
      <c r="T25" s="192"/>
      <c r="U25" s="192"/>
    </row>
    <row r="26" spans="11:21" ht="38" customHeight="1" x14ac:dyDescent="0.2">
      <c r="K26" s="192"/>
      <c r="L26" s="192"/>
      <c r="M26" s="192"/>
      <c r="N26" s="192"/>
      <c r="O26" s="192"/>
      <c r="P26" s="192"/>
      <c r="Q26" s="192"/>
      <c r="R26" s="192"/>
      <c r="S26" s="192"/>
      <c r="T26" s="192"/>
      <c r="U26" s="192"/>
    </row>
    <row r="27" spans="11:21" x14ac:dyDescent="0.2">
      <c r="K27" s="192"/>
      <c r="L27" s="192"/>
      <c r="M27" s="192"/>
      <c r="N27" s="192"/>
      <c r="O27" s="192"/>
      <c r="P27" s="192"/>
      <c r="Q27" s="192"/>
      <c r="R27" s="192"/>
      <c r="S27" s="192"/>
      <c r="T27" s="192"/>
      <c r="U27" s="192"/>
    </row>
  </sheetData>
  <mergeCells count="4">
    <mergeCell ref="B1:J1"/>
    <mergeCell ref="C2:F2"/>
    <mergeCell ref="K2:U2"/>
    <mergeCell ref="K22:U27"/>
  </mergeCells>
  <phoneticPr fontId="7" type="noConversion"/>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47"/>
  <sheetViews>
    <sheetView tabSelected="1" topLeftCell="A198" workbookViewId="0">
      <selection activeCell="B247" sqref="B247"/>
    </sheetView>
  </sheetViews>
  <sheetFormatPr baseColWidth="10" defaultRowHeight="15" x14ac:dyDescent="0.2"/>
  <sheetData>
    <row r="1" spans="1:30" ht="16" x14ac:dyDescent="0.2">
      <c r="A1" s="260"/>
      <c r="B1" s="261"/>
      <c r="C1" s="262"/>
      <c r="D1" s="263"/>
      <c r="E1" s="263"/>
      <c r="F1" s="263"/>
      <c r="G1" s="263"/>
      <c r="H1" s="263"/>
      <c r="I1" s="264"/>
      <c r="J1" s="263"/>
      <c r="K1" s="263"/>
      <c r="L1" s="263"/>
      <c r="M1" s="263"/>
      <c r="N1" s="263"/>
      <c r="O1" s="263"/>
      <c r="P1" s="263"/>
      <c r="Q1" s="263"/>
      <c r="R1" s="263"/>
      <c r="S1" s="263"/>
      <c r="T1" s="263"/>
      <c r="U1" s="263"/>
      <c r="V1" s="263"/>
      <c r="W1" s="263"/>
      <c r="X1" s="263"/>
      <c r="Y1" s="265"/>
      <c r="Z1" s="264"/>
      <c r="AA1" s="264"/>
      <c r="AB1" s="263"/>
      <c r="AC1" s="263"/>
      <c r="AD1" s="263"/>
    </row>
    <row r="2" spans="1:30" ht="18" x14ac:dyDescent="0.2">
      <c r="A2" s="263"/>
      <c r="B2" s="266" t="s">
        <v>613</v>
      </c>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row>
    <row r="3" spans="1:30" ht="16" x14ac:dyDescent="0.2">
      <c r="A3" s="262"/>
      <c r="B3" s="262"/>
      <c r="C3" s="262"/>
      <c r="D3" s="262"/>
      <c r="E3" s="262"/>
      <c r="F3" s="262"/>
      <c r="G3" s="262"/>
      <c r="H3" s="262"/>
      <c r="I3" s="262"/>
      <c r="J3" s="262"/>
      <c r="K3" s="262"/>
      <c r="L3" s="262"/>
      <c r="M3" s="262"/>
      <c r="N3" s="262"/>
      <c r="O3" s="262"/>
      <c r="P3" s="262"/>
      <c r="Q3" s="262"/>
      <c r="R3" s="262"/>
      <c r="S3" s="262"/>
      <c r="T3" s="262"/>
      <c r="U3" s="262"/>
      <c r="V3" s="262"/>
      <c r="W3" s="262"/>
      <c r="X3" s="262"/>
      <c r="Y3" s="262"/>
      <c r="Z3" s="262"/>
      <c r="AA3" s="262"/>
      <c r="AB3" s="262"/>
      <c r="AC3" s="262"/>
      <c r="AD3" s="262"/>
    </row>
    <row r="4" spans="1:30" x14ac:dyDescent="0.2">
      <c r="A4" s="267"/>
      <c r="B4" s="289" t="s">
        <v>614</v>
      </c>
      <c r="C4" s="292" t="s">
        <v>615</v>
      </c>
      <c r="D4" s="293"/>
      <c r="E4" s="294" t="s">
        <v>616</v>
      </c>
      <c r="F4" s="295"/>
      <c r="G4" s="295"/>
      <c r="H4" s="296"/>
      <c r="I4" s="294" t="s">
        <v>618</v>
      </c>
      <c r="J4" s="296"/>
      <c r="K4" s="294" t="s">
        <v>78</v>
      </c>
      <c r="L4" s="296"/>
      <c r="M4" s="294" t="s">
        <v>619</v>
      </c>
      <c r="N4" s="295"/>
      <c r="O4" s="295"/>
      <c r="P4" s="296"/>
      <c r="Q4" s="294" t="s">
        <v>621</v>
      </c>
      <c r="R4" s="295"/>
      <c r="S4" s="295"/>
      <c r="T4" s="296"/>
      <c r="U4" s="294" t="s">
        <v>622</v>
      </c>
      <c r="V4" s="296"/>
      <c r="W4" s="294" t="s">
        <v>623</v>
      </c>
      <c r="X4" s="296"/>
      <c r="Y4" s="294" t="s">
        <v>624</v>
      </c>
      <c r="Z4" s="295"/>
      <c r="AA4" s="295"/>
      <c r="AB4" s="300"/>
      <c r="AC4" s="267"/>
      <c r="AD4" s="267"/>
    </row>
    <row r="5" spans="1:30" ht="24" x14ac:dyDescent="0.2">
      <c r="A5" s="267"/>
      <c r="B5" s="290"/>
      <c r="C5" s="268" t="s">
        <v>626</v>
      </c>
      <c r="D5" s="268" t="s">
        <v>627</v>
      </c>
      <c r="E5" s="297" t="s">
        <v>617</v>
      </c>
      <c r="F5" s="298"/>
      <c r="G5" s="298"/>
      <c r="H5" s="299"/>
      <c r="I5" s="297"/>
      <c r="J5" s="299"/>
      <c r="K5" s="297"/>
      <c r="L5" s="299"/>
      <c r="M5" s="297" t="s">
        <v>620</v>
      </c>
      <c r="N5" s="298"/>
      <c r="O5" s="298"/>
      <c r="P5" s="299"/>
      <c r="Q5" s="297" t="s">
        <v>620</v>
      </c>
      <c r="R5" s="298"/>
      <c r="S5" s="298"/>
      <c r="T5" s="299"/>
      <c r="U5" s="297"/>
      <c r="V5" s="299"/>
      <c r="W5" s="297"/>
      <c r="X5" s="299"/>
      <c r="Y5" s="297" t="s">
        <v>625</v>
      </c>
      <c r="Z5" s="298"/>
      <c r="AA5" s="298"/>
      <c r="AB5" s="301"/>
      <c r="AC5" s="267"/>
      <c r="AD5" s="267"/>
    </row>
    <row r="6" spans="1:30" x14ac:dyDescent="0.2">
      <c r="A6" s="267"/>
      <c r="B6" s="291"/>
      <c r="C6" s="269">
        <v>2013</v>
      </c>
      <c r="D6" s="269">
        <v>2013</v>
      </c>
      <c r="E6" s="302" t="s">
        <v>96</v>
      </c>
      <c r="F6" s="303"/>
      <c r="G6" s="302" t="s">
        <v>74</v>
      </c>
      <c r="H6" s="303"/>
      <c r="I6" s="304" t="s">
        <v>625</v>
      </c>
      <c r="J6" s="305"/>
      <c r="K6" s="307" t="s">
        <v>79</v>
      </c>
      <c r="L6" s="308"/>
      <c r="M6" s="309" t="s">
        <v>96</v>
      </c>
      <c r="N6" s="310"/>
      <c r="O6" s="309" t="s">
        <v>74</v>
      </c>
      <c r="P6" s="311"/>
      <c r="Q6" s="312" t="s">
        <v>96</v>
      </c>
      <c r="R6" s="310"/>
      <c r="S6" s="309" t="s">
        <v>74</v>
      </c>
      <c r="T6" s="310"/>
      <c r="U6" s="307" t="s">
        <v>628</v>
      </c>
      <c r="V6" s="306"/>
      <c r="W6" s="306"/>
      <c r="X6" s="308"/>
      <c r="Y6" s="309" t="s">
        <v>96</v>
      </c>
      <c r="Z6" s="311"/>
      <c r="AA6" s="312" t="s">
        <v>74</v>
      </c>
      <c r="AB6" s="311"/>
      <c r="AC6" s="267"/>
      <c r="AD6" s="267"/>
    </row>
    <row r="7" spans="1:30" x14ac:dyDescent="0.2">
      <c r="A7" s="263"/>
      <c r="B7" s="270"/>
      <c r="C7" s="263"/>
      <c r="D7" s="263"/>
      <c r="E7" s="263"/>
      <c r="F7" s="263"/>
      <c r="G7" s="263"/>
      <c r="H7" s="263"/>
      <c r="I7" s="263"/>
      <c r="J7" s="263"/>
      <c r="K7" s="263"/>
      <c r="L7" s="263"/>
      <c r="M7" s="263"/>
      <c r="N7" s="263"/>
      <c r="O7" s="263"/>
      <c r="P7" s="263"/>
      <c r="Q7" s="263"/>
      <c r="R7" s="263"/>
      <c r="S7" s="263"/>
      <c r="T7" s="263"/>
      <c r="U7" s="263"/>
      <c r="V7" s="263"/>
      <c r="W7" s="263"/>
      <c r="X7" s="263"/>
      <c r="Y7" s="263"/>
      <c r="Z7" s="263"/>
      <c r="AA7" s="263"/>
      <c r="AB7" s="263"/>
      <c r="AC7" s="263"/>
      <c r="AD7" s="263"/>
    </row>
    <row r="8" spans="1:30" x14ac:dyDescent="0.2">
      <c r="A8" s="263"/>
      <c r="B8" s="270" t="s">
        <v>629</v>
      </c>
      <c r="C8" s="271">
        <v>8058</v>
      </c>
      <c r="D8" s="271">
        <v>26</v>
      </c>
      <c r="E8" s="271" t="s">
        <v>630</v>
      </c>
      <c r="F8" s="271" t="s">
        <v>631</v>
      </c>
      <c r="G8" s="271">
        <v>20</v>
      </c>
      <c r="H8" s="271" t="s">
        <v>631</v>
      </c>
      <c r="I8" s="271">
        <v>26</v>
      </c>
      <c r="J8" s="271" t="s">
        <v>631</v>
      </c>
      <c r="K8" s="271">
        <v>90</v>
      </c>
      <c r="L8" s="271" t="s">
        <v>631</v>
      </c>
      <c r="M8" s="271" t="s">
        <v>630</v>
      </c>
      <c r="N8" s="271" t="s">
        <v>631</v>
      </c>
      <c r="O8" s="271">
        <v>84</v>
      </c>
      <c r="P8" s="271" t="s">
        <v>631</v>
      </c>
      <c r="Q8" s="271" t="s">
        <v>630</v>
      </c>
      <c r="R8" s="271" t="s">
        <v>631</v>
      </c>
      <c r="S8" s="271" t="s">
        <v>630</v>
      </c>
      <c r="T8" s="271" t="s">
        <v>631</v>
      </c>
      <c r="U8" s="271">
        <v>63</v>
      </c>
      <c r="V8" s="271" t="s">
        <v>631</v>
      </c>
      <c r="W8" s="271">
        <v>43</v>
      </c>
      <c r="X8" s="271" t="s">
        <v>631</v>
      </c>
      <c r="Y8" s="271" t="s">
        <v>630</v>
      </c>
      <c r="Z8" s="271" t="s">
        <v>631</v>
      </c>
      <c r="AA8" s="271">
        <v>2</v>
      </c>
      <c r="AB8" s="271" t="s">
        <v>631</v>
      </c>
      <c r="AC8" s="263"/>
      <c r="AD8" s="263"/>
    </row>
    <row r="9" spans="1:30" x14ac:dyDescent="0.2">
      <c r="A9" s="263"/>
      <c r="B9" s="270" t="s">
        <v>97</v>
      </c>
      <c r="C9" s="271">
        <v>554</v>
      </c>
      <c r="D9" s="271">
        <v>17</v>
      </c>
      <c r="E9" s="271">
        <v>1</v>
      </c>
      <c r="F9" s="271" t="s">
        <v>631</v>
      </c>
      <c r="G9" s="271">
        <v>8</v>
      </c>
      <c r="H9" s="271" t="s">
        <v>631</v>
      </c>
      <c r="I9" s="271">
        <v>3</v>
      </c>
      <c r="J9" s="271" t="s">
        <v>631</v>
      </c>
      <c r="K9" s="271">
        <v>12</v>
      </c>
      <c r="L9" s="271" t="s">
        <v>632</v>
      </c>
      <c r="M9" s="271">
        <v>37</v>
      </c>
      <c r="N9" s="271" t="s">
        <v>631</v>
      </c>
      <c r="O9" s="271">
        <v>24</v>
      </c>
      <c r="P9" s="271" t="s">
        <v>631</v>
      </c>
      <c r="Q9" s="271">
        <v>97</v>
      </c>
      <c r="R9" s="271" t="s">
        <v>631</v>
      </c>
      <c r="S9" s="271">
        <v>99</v>
      </c>
      <c r="T9" s="271" t="s">
        <v>631</v>
      </c>
      <c r="U9" s="271">
        <v>93</v>
      </c>
      <c r="V9" s="271" t="s">
        <v>632</v>
      </c>
      <c r="W9" s="271">
        <v>83</v>
      </c>
      <c r="X9" s="271" t="s">
        <v>631</v>
      </c>
      <c r="Y9" s="271">
        <v>21</v>
      </c>
      <c r="Z9" s="271" t="s">
        <v>631</v>
      </c>
      <c r="AA9" s="271">
        <v>36</v>
      </c>
      <c r="AB9" s="271" t="s">
        <v>631</v>
      </c>
      <c r="AC9" s="263"/>
      <c r="AD9" s="263"/>
    </row>
    <row r="10" spans="1:30" x14ac:dyDescent="0.2">
      <c r="A10" s="263"/>
      <c r="B10" s="270" t="s">
        <v>633</v>
      </c>
      <c r="C10" s="271">
        <v>6221</v>
      </c>
      <c r="D10" s="271">
        <v>16</v>
      </c>
      <c r="E10" s="271" t="s">
        <v>630</v>
      </c>
      <c r="F10" s="271" t="s">
        <v>631</v>
      </c>
      <c r="G10" s="271">
        <v>2</v>
      </c>
      <c r="H10" s="271" t="s">
        <v>631</v>
      </c>
      <c r="I10" s="271">
        <v>1</v>
      </c>
      <c r="J10" s="271" t="s">
        <v>631</v>
      </c>
      <c r="K10" s="271">
        <v>4</v>
      </c>
      <c r="L10" s="271" t="s">
        <v>632</v>
      </c>
      <c r="M10" s="271" t="s">
        <v>630</v>
      </c>
      <c r="N10" s="271" t="s">
        <v>631</v>
      </c>
      <c r="O10" s="271">
        <v>66</v>
      </c>
      <c r="P10" s="271" t="s">
        <v>631</v>
      </c>
      <c r="Q10" s="271" t="s">
        <v>630</v>
      </c>
      <c r="R10" s="271" t="s">
        <v>631</v>
      </c>
      <c r="S10" s="271" t="s">
        <v>630</v>
      </c>
      <c r="T10" s="271" t="s">
        <v>631</v>
      </c>
      <c r="U10" s="271">
        <v>128</v>
      </c>
      <c r="V10" s="271" t="s">
        <v>631</v>
      </c>
      <c r="W10" s="271">
        <v>62</v>
      </c>
      <c r="X10" s="271" t="s">
        <v>631</v>
      </c>
      <c r="Y10" s="271" t="s">
        <v>630</v>
      </c>
      <c r="Z10" s="271" t="s">
        <v>631</v>
      </c>
      <c r="AA10" s="271">
        <v>12</v>
      </c>
      <c r="AB10" s="271" t="s">
        <v>632</v>
      </c>
      <c r="AC10" s="263"/>
      <c r="AD10" s="263"/>
    </row>
    <row r="11" spans="1:30" x14ac:dyDescent="0.2">
      <c r="A11" s="263"/>
      <c r="B11" s="270" t="s">
        <v>80</v>
      </c>
      <c r="C11" s="271" t="s">
        <v>630</v>
      </c>
      <c r="D11" s="271" t="s">
        <v>630</v>
      </c>
      <c r="E11" s="271" t="s">
        <v>630</v>
      </c>
      <c r="F11" s="271" t="s">
        <v>631</v>
      </c>
      <c r="G11" s="271" t="s">
        <v>630</v>
      </c>
      <c r="H11" s="271" t="s">
        <v>631</v>
      </c>
      <c r="I11" s="271" t="s">
        <v>630</v>
      </c>
      <c r="J11" s="271" t="s">
        <v>631</v>
      </c>
      <c r="K11" s="271">
        <v>5</v>
      </c>
      <c r="L11" s="271" t="s">
        <v>631</v>
      </c>
      <c r="M11" s="271" t="s">
        <v>630</v>
      </c>
      <c r="N11" s="271" t="s">
        <v>631</v>
      </c>
      <c r="O11" s="271" t="s">
        <v>630</v>
      </c>
      <c r="P11" s="271" t="s">
        <v>631</v>
      </c>
      <c r="Q11" s="271" t="s">
        <v>630</v>
      </c>
      <c r="R11" s="271" t="s">
        <v>631</v>
      </c>
      <c r="S11" s="271" t="s">
        <v>630</v>
      </c>
      <c r="T11" s="271" t="s">
        <v>631</v>
      </c>
      <c r="U11" s="271" t="s">
        <v>630</v>
      </c>
      <c r="V11" s="271" t="s">
        <v>631</v>
      </c>
      <c r="W11" s="271" t="s">
        <v>630</v>
      </c>
      <c r="X11" s="271" t="s">
        <v>631</v>
      </c>
      <c r="Y11" s="271" t="s">
        <v>630</v>
      </c>
      <c r="Z11" s="271" t="s">
        <v>631</v>
      </c>
      <c r="AA11" s="271" t="s">
        <v>630</v>
      </c>
      <c r="AB11" s="271" t="s">
        <v>631</v>
      </c>
      <c r="AC11" s="263"/>
      <c r="AD11" s="263"/>
    </row>
    <row r="12" spans="1:30" x14ac:dyDescent="0.2">
      <c r="A12" s="263"/>
      <c r="B12" s="270" t="s">
        <v>634</v>
      </c>
      <c r="C12" s="271">
        <v>5062</v>
      </c>
      <c r="D12" s="271">
        <v>24</v>
      </c>
      <c r="E12" s="271" t="s">
        <v>630</v>
      </c>
      <c r="F12" s="271" t="s">
        <v>631</v>
      </c>
      <c r="G12" s="271" t="s">
        <v>630</v>
      </c>
      <c r="H12" s="271" t="s">
        <v>631</v>
      </c>
      <c r="I12" s="271" t="s">
        <v>630</v>
      </c>
      <c r="J12" s="271" t="s">
        <v>631</v>
      </c>
      <c r="K12" s="271">
        <v>188</v>
      </c>
      <c r="L12" s="271" t="s">
        <v>631</v>
      </c>
      <c r="M12" s="271" t="s">
        <v>630</v>
      </c>
      <c r="N12" s="271" t="s">
        <v>631</v>
      </c>
      <c r="O12" s="271" t="s">
        <v>630</v>
      </c>
      <c r="P12" s="271" t="s">
        <v>631</v>
      </c>
      <c r="Q12" s="271" t="s">
        <v>630</v>
      </c>
      <c r="R12" s="271" t="s">
        <v>631</v>
      </c>
      <c r="S12" s="271" t="s">
        <v>630</v>
      </c>
      <c r="T12" s="271" t="s">
        <v>631</v>
      </c>
      <c r="U12" s="271">
        <v>39</v>
      </c>
      <c r="V12" s="271" t="s">
        <v>631</v>
      </c>
      <c r="W12" s="271">
        <v>23</v>
      </c>
      <c r="X12" s="271" t="s">
        <v>631</v>
      </c>
      <c r="Y12" s="271">
        <v>26</v>
      </c>
      <c r="Z12" s="271" t="s">
        <v>631</v>
      </c>
      <c r="AA12" s="271">
        <v>24</v>
      </c>
      <c r="AB12" s="271" t="s">
        <v>631</v>
      </c>
      <c r="AC12" s="263"/>
      <c r="AD12" s="263"/>
    </row>
    <row r="13" spans="1:30" x14ac:dyDescent="0.2">
      <c r="A13" s="263"/>
      <c r="B13" s="270" t="s">
        <v>635</v>
      </c>
      <c r="C13" s="271">
        <v>16</v>
      </c>
      <c r="D13" s="271">
        <v>17</v>
      </c>
      <c r="E13" s="271" t="s">
        <v>630</v>
      </c>
      <c r="F13" s="271" t="s">
        <v>631</v>
      </c>
      <c r="G13" s="271" t="s">
        <v>630</v>
      </c>
      <c r="H13" s="271" t="s">
        <v>631</v>
      </c>
      <c r="I13" s="271" t="s">
        <v>630</v>
      </c>
      <c r="J13" s="271" t="s">
        <v>631</v>
      </c>
      <c r="K13" s="271">
        <v>67</v>
      </c>
      <c r="L13" s="271" t="s">
        <v>632</v>
      </c>
      <c r="M13" s="271" t="s">
        <v>630</v>
      </c>
      <c r="N13" s="271" t="s">
        <v>631</v>
      </c>
      <c r="O13" s="271" t="s">
        <v>630</v>
      </c>
      <c r="P13" s="271" t="s">
        <v>631</v>
      </c>
      <c r="Q13" s="271" t="s">
        <v>630</v>
      </c>
      <c r="R13" s="271" t="s">
        <v>631</v>
      </c>
      <c r="S13" s="271" t="s">
        <v>630</v>
      </c>
      <c r="T13" s="271" t="s">
        <v>631</v>
      </c>
      <c r="U13" s="271">
        <v>114</v>
      </c>
      <c r="V13" s="271" t="s">
        <v>631</v>
      </c>
      <c r="W13" s="271">
        <v>93</v>
      </c>
      <c r="X13" s="271" t="s">
        <v>631</v>
      </c>
      <c r="Y13" s="271">
        <v>55</v>
      </c>
      <c r="Z13" s="271" t="s">
        <v>631</v>
      </c>
      <c r="AA13" s="271">
        <v>40</v>
      </c>
      <c r="AB13" s="271" t="s">
        <v>631</v>
      </c>
      <c r="AC13" s="263"/>
      <c r="AD13" s="263"/>
    </row>
    <row r="14" spans="1:30" x14ac:dyDescent="0.2">
      <c r="A14" s="263"/>
      <c r="B14" s="270" t="s">
        <v>636</v>
      </c>
      <c r="C14" s="271">
        <v>6696</v>
      </c>
      <c r="D14" s="271">
        <v>16</v>
      </c>
      <c r="E14" s="271" t="s">
        <v>630</v>
      </c>
      <c r="F14" s="271" t="s">
        <v>631</v>
      </c>
      <c r="G14" s="271" t="s">
        <v>630</v>
      </c>
      <c r="H14" s="271" t="s">
        <v>631</v>
      </c>
      <c r="I14" s="271">
        <v>12</v>
      </c>
      <c r="J14" s="271" t="s">
        <v>631</v>
      </c>
      <c r="K14" s="271">
        <v>70</v>
      </c>
      <c r="L14" s="271" t="s">
        <v>631</v>
      </c>
      <c r="M14" s="271" t="s">
        <v>630</v>
      </c>
      <c r="N14" s="271" t="s">
        <v>631</v>
      </c>
      <c r="O14" s="271">
        <v>2</v>
      </c>
      <c r="P14" s="271" t="s">
        <v>631</v>
      </c>
      <c r="Q14" s="271" t="s">
        <v>630</v>
      </c>
      <c r="R14" s="271" t="s">
        <v>631</v>
      </c>
      <c r="S14" s="271" t="s">
        <v>630</v>
      </c>
      <c r="T14" s="271" t="s">
        <v>631</v>
      </c>
      <c r="U14" s="271">
        <v>114</v>
      </c>
      <c r="V14" s="271" t="s">
        <v>631</v>
      </c>
      <c r="W14" s="271">
        <v>70</v>
      </c>
      <c r="X14" s="271" t="s">
        <v>631</v>
      </c>
      <c r="Y14" s="271" t="s">
        <v>630</v>
      </c>
      <c r="Z14" s="271" t="s">
        <v>631</v>
      </c>
      <c r="AA14" s="271">
        <v>36</v>
      </c>
      <c r="AB14" s="271" t="s">
        <v>631</v>
      </c>
      <c r="AC14" s="263"/>
      <c r="AD14" s="263"/>
    </row>
    <row r="15" spans="1:30" x14ac:dyDescent="0.2">
      <c r="A15" s="263"/>
      <c r="B15" s="270" t="s">
        <v>98</v>
      </c>
      <c r="C15" s="271">
        <v>401</v>
      </c>
      <c r="D15" s="271">
        <v>13</v>
      </c>
      <c r="E15" s="271">
        <v>1</v>
      </c>
      <c r="F15" s="271" t="s">
        <v>631</v>
      </c>
      <c r="G15" s="271">
        <v>8</v>
      </c>
      <c r="H15" s="271" t="s">
        <v>631</v>
      </c>
      <c r="I15" s="271">
        <v>2</v>
      </c>
      <c r="J15" s="271" t="s">
        <v>631</v>
      </c>
      <c r="K15" s="271">
        <v>28</v>
      </c>
      <c r="L15" s="271" t="s">
        <v>631</v>
      </c>
      <c r="M15" s="271">
        <v>21</v>
      </c>
      <c r="N15" s="271" t="s">
        <v>631</v>
      </c>
      <c r="O15" s="271">
        <v>8</v>
      </c>
      <c r="P15" s="271" t="s">
        <v>631</v>
      </c>
      <c r="Q15" s="271">
        <v>94</v>
      </c>
      <c r="R15" s="271" t="s">
        <v>631</v>
      </c>
      <c r="S15" s="271">
        <v>92</v>
      </c>
      <c r="T15" s="271" t="s">
        <v>631</v>
      </c>
      <c r="U15" s="271">
        <v>94</v>
      </c>
      <c r="V15" s="271" t="s">
        <v>631</v>
      </c>
      <c r="W15" s="271">
        <v>99</v>
      </c>
      <c r="X15" s="271" t="s">
        <v>631</v>
      </c>
      <c r="Y15" s="271">
        <v>4</v>
      </c>
      <c r="Z15" s="271" t="s">
        <v>631</v>
      </c>
      <c r="AA15" s="271">
        <v>10</v>
      </c>
      <c r="AB15" s="271" t="s">
        <v>631</v>
      </c>
      <c r="AC15" s="263"/>
      <c r="AD15" s="263"/>
    </row>
    <row r="16" spans="1:30" x14ac:dyDescent="0.2">
      <c r="A16" s="263"/>
      <c r="B16" s="270" t="s">
        <v>637</v>
      </c>
      <c r="C16" s="271">
        <v>2934</v>
      </c>
      <c r="D16" s="271">
        <v>13</v>
      </c>
      <c r="E16" s="271" t="s">
        <v>630</v>
      </c>
      <c r="F16" s="271" t="s">
        <v>631</v>
      </c>
      <c r="G16" s="271" t="s">
        <v>630</v>
      </c>
      <c r="H16" s="271" t="s">
        <v>631</v>
      </c>
      <c r="I16" s="271" t="s">
        <v>630</v>
      </c>
      <c r="J16" s="271" t="s">
        <v>631</v>
      </c>
      <c r="K16" s="271">
        <v>15</v>
      </c>
      <c r="L16" s="271" t="s">
        <v>631</v>
      </c>
      <c r="M16" s="271" t="s">
        <v>630</v>
      </c>
      <c r="N16" s="271" t="s">
        <v>631</v>
      </c>
      <c r="O16" s="271" t="s">
        <v>630</v>
      </c>
      <c r="P16" s="271" t="s">
        <v>631</v>
      </c>
      <c r="Q16" s="271" t="s">
        <v>630</v>
      </c>
      <c r="R16" s="271" t="s">
        <v>631</v>
      </c>
      <c r="S16" s="271" t="s">
        <v>630</v>
      </c>
      <c r="T16" s="271" t="s">
        <v>631</v>
      </c>
      <c r="U16" s="271">
        <v>111</v>
      </c>
      <c r="V16" s="271" t="s">
        <v>631</v>
      </c>
      <c r="W16" s="271">
        <v>182</v>
      </c>
      <c r="X16" s="271" t="s">
        <v>631</v>
      </c>
      <c r="Y16" s="271" t="s">
        <v>630</v>
      </c>
      <c r="Z16" s="271" t="s">
        <v>631</v>
      </c>
      <c r="AA16" s="271" t="s">
        <v>630</v>
      </c>
      <c r="AB16" s="271" t="s">
        <v>631</v>
      </c>
      <c r="AC16" s="263"/>
      <c r="AD16" s="263"/>
    </row>
    <row r="17" spans="1:30" x14ac:dyDescent="0.2">
      <c r="A17" s="263"/>
      <c r="B17" s="270" t="s">
        <v>99</v>
      </c>
      <c r="C17" s="271">
        <v>906</v>
      </c>
      <c r="D17" s="271">
        <v>11</v>
      </c>
      <c r="E17" s="271" t="s">
        <v>630</v>
      </c>
      <c r="F17" s="271" t="s">
        <v>631</v>
      </c>
      <c r="G17" s="271" t="s">
        <v>630</v>
      </c>
      <c r="H17" s="271" t="s">
        <v>631</v>
      </c>
      <c r="I17" s="271" t="s">
        <v>630</v>
      </c>
      <c r="J17" s="271" t="s">
        <v>631</v>
      </c>
      <c r="K17" s="271">
        <v>9</v>
      </c>
      <c r="L17" s="271" t="s">
        <v>631</v>
      </c>
      <c r="M17" s="271" t="s">
        <v>630</v>
      </c>
      <c r="N17" s="271" t="s">
        <v>631</v>
      </c>
      <c r="O17" s="271" t="s">
        <v>630</v>
      </c>
      <c r="P17" s="271" t="s">
        <v>631</v>
      </c>
      <c r="Q17" s="271" t="s">
        <v>630</v>
      </c>
      <c r="R17" s="271" t="s">
        <v>631</v>
      </c>
      <c r="S17" s="271" t="s">
        <v>630</v>
      </c>
      <c r="T17" s="271" t="s">
        <v>631</v>
      </c>
      <c r="U17" s="271">
        <v>100</v>
      </c>
      <c r="V17" s="271" t="s">
        <v>631</v>
      </c>
      <c r="W17" s="271">
        <v>96</v>
      </c>
      <c r="X17" s="271" t="s">
        <v>631</v>
      </c>
      <c r="Y17" s="271" t="s">
        <v>630</v>
      </c>
      <c r="Z17" s="271" t="s">
        <v>631</v>
      </c>
      <c r="AA17" s="271" t="s">
        <v>630</v>
      </c>
      <c r="AB17" s="271" t="s">
        <v>631</v>
      </c>
      <c r="AC17" s="263"/>
      <c r="AD17" s="263"/>
    </row>
    <row r="18" spans="1:30" x14ac:dyDescent="0.2">
      <c r="A18" s="263"/>
      <c r="B18" s="270" t="s">
        <v>100</v>
      </c>
      <c r="C18" s="271">
        <v>1451</v>
      </c>
      <c r="D18" s="271">
        <v>15</v>
      </c>
      <c r="E18" s="271">
        <v>0</v>
      </c>
      <c r="F18" s="271" t="s">
        <v>631</v>
      </c>
      <c r="G18" s="271">
        <v>10</v>
      </c>
      <c r="H18" s="271" t="s">
        <v>631</v>
      </c>
      <c r="I18" s="271">
        <v>4</v>
      </c>
      <c r="J18" s="271" t="s">
        <v>632</v>
      </c>
      <c r="K18" s="271">
        <v>47</v>
      </c>
      <c r="L18" s="271" t="s">
        <v>631</v>
      </c>
      <c r="M18" s="271">
        <v>63</v>
      </c>
      <c r="N18" s="271" t="s">
        <v>631</v>
      </c>
      <c r="O18" s="271">
        <v>39</v>
      </c>
      <c r="P18" s="271" t="s">
        <v>631</v>
      </c>
      <c r="Q18" s="271">
        <v>97</v>
      </c>
      <c r="R18" s="271" t="s">
        <v>631</v>
      </c>
      <c r="S18" s="271">
        <v>95</v>
      </c>
      <c r="T18" s="271" t="s">
        <v>631</v>
      </c>
      <c r="U18" s="271">
        <v>92</v>
      </c>
      <c r="V18" s="271" t="s">
        <v>631</v>
      </c>
      <c r="W18" s="271">
        <v>119</v>
      </c>
      <c r="X18" s="271" t="s">
        <v>631</v>
      </c>
      <c r="Y18" s="271">
        <v>2</v>
      </c>
      <c r="Z18" s="271" t="s">
        <v>632</v>
      </c>
      <c r="AA18" s="271">
        <v>3</v>
      </c>
      <c r="AB18" s="271" t="s">
        <v>632</v>
      </c>
      <c r="AC18" s="263"/>
      <c r="AD18" s="263"/>
    </row>
    <row r="19" spans="1:30" x14ac:dyDescent="0.2">
      <c r="A19" s="263"/>
      <c r="B19" s="270" t="s">
        <v>638</v>
      </c>
      <c r="C19" s="271">
        <v>59</v>
      </c>
      <c r="D19" s="271">
        <v>16</v>
      </c>
      <c r="E19" s="271" t="s">
        <v>630</v>
      </c>
      <c r="F19" s="271" t="s">
        <v>631</v>
      </c>
      <c r="G19" s="271" t="s">
        <v>630</v>
      </c>
      <c r="H19" s="271" t="s">
        <v>631</v>
      </c>
      <c r="I19" s="271" t="s">
        <v>630</v>
      </c>
      <c r="J19" s="271" t="s">
        <v>631</v>
      </c>
      <c r="K19" s="271">
        <v>40</v>
      </c>
      <c r="L19" s="271" t="s">
        <v>632</v>
      </c>
      <c r="M19" s="271" t="s">
        <v>630</v>
      </c>
      <c r="N19" s="271" t="s">
        <v>631</v>
      </c>
      <c r="O19" s="271" t="s">
        <v>630</v>
      </c>
      <c r="P19" s="271" t="s">
        <v>631</v>
      </c>
      <c r="Q19" s="271" t="s">
        <v>630</v>
      </c>
      <c r="R19" s="271" t="s">
        <v>631</v>
      </c>
      <c r="S19" s="271" t="s">
        <v>630</v>
      </c>
      <c r="T19" s="271" t="s">
        <v>631</v>
      </c>
      <c r="U19" s="271">
        <v>98</v>
      </c>
      <c r="V19" s="271" t="s">
        <v>631</v>
      </c>
      <c r="W19" s="271">
        <v>88</v>
      </c>
      <c r="X19" s="271" t="s">
        <v>631</v>
      </c>
      <c r="Y19" s="271" t="s">
        <v>630</v>
      </c>
      <c r="Z19" s="271" t="s">
        <v>631</v>
      </c>
      <c r="AA19" s="271" t="s">
        <v>630</v>
      </c>
      <c r="AB19" s="271" t="s">
        <v>631</v>
      </c>
      <c r="AC19" s="263"/>
      <c r="AD19" s="263"/>
    </row>
    <row r="20" spans="1:30" x14ac:dyDescent="0.2">
      <c r="A20" s="263"/>
      <c r="B20" s="270" t="s">
        <v>639</v>
      </c>
      <c r="C20" s="271">
        <v>164</v>
      </c>
      <c r="D20" s="271">
        <v>12</v>
      </c>
      <c r="E20" s="271" t="s">
        <v>630</v>
      </c>
      <c r="F20" s="271" t="s">
        <v>631</v>
      </c>
      <c r="G20" s="271" t="s">
        <v>630</v>
      </c>
      <c r="H20" s="271" t="s">
        <v>631</v>
      </c>
      <c r="I20" s="271" t="s">
        <v>630</v>
      </c>
      <c r="J20" s="271" t="s">
        <v>631</v>
      </c>
      <c r="K20" s="271">
        <v>14</v>
      </c>
      <c r="L20" s="271" t="s">
        <v>631</v>
      </c>
      <c r="M20" s="271" t="s">
        <v>630</v>
      </c>
      <c r="N20" s="271" t="s">
        <v>631</v>
      </c>
      <c r="O20" s="271" t="s">
        <v>630</v>
      </c>
      <c r="P20" s="271" t="s">
        <v>631</v>
      </c>
      <c r="Q20" s="271" t="s">
        <v>630</v>
      </c>
      <c r="R20" s="271" t="s">
        <v>631</v>
      </c>
      <c r="S20" s="271" t="s">
        <v>630</v>
      </c>
      <c r="T20" s="271" t="s">
        <v>631</v>
      </c>
      <c r="U20" s="271">
        <v>94</v>
      </c>
      <c r="V20" s="271" t="s">
        <v>631</v>
      </c>
      <c r="W20" s="271">
        <v>97</v>
      </c>
      <c r="X20" s="271" t="s">
        <v>631</v>
      </c>
      <c r="Y20" s="271" t="s">
        <v>630</v>
      </c>
      <c r="Z20" s="271" t="s">
        <v>631</v>
      </c>
      <c r="AA20" s="271" t="s">
        <v>630</v>
      </c>
      <c r="AB20" s="271" t="s">
        <v>631</v>
      </c>
      <c r="AC20" s="263"/>
      <c r="AD20" s="263"/>
    </row>
    <row r="21" spans="1:30" x14ac:dyDescent="0.2">
      <c r="A21" s="263"/>
      <c r="B21" s="270" t="s">
        <v>640</v>
      </c>
      <c r="C21" s="271">
        <v>32274</v>
      </c>
      <c r="D21" s="271">
        <v>21</v>
      </c>
      <c r="E21" s="271">
        <v>2</v>
      </c>
      <c r="F21" s="271" t="s">
        <v>631</v>
      </c>
      <c r="G21" s="271">
        <v>45</v>
      </c>
      <c r="H21" s="271" t="s">
        <v>631</v>
      </c>
      <c r="I21" s="271">
        <v>40</v>
      </c>
      <c r="J21" s="271" t="s">
        <v>631</v>
      </c>
      <c r="K21" s="271">
        <v>128</v>
      </c>
      <c r="L21" s="271" t="s">
        <v>631</v>
      </c>
      <c r="M21" s="271" t="s">
        <v>630</v>
      </c>
      <c r="N21" s="271" t="s">
        <v>631</v>
      </c>
      <c r="O21" s="271">
        <v>33</v>
      </c>
      <c r="P21" s="271" t="s">
        <v>641</v>
      </c>
      <c r="Q21" s="271" t="s">
        <v>630</v>
      </c>
      <c r="R21" s="271" t="s">
        <v>631</v>
      </c>
      <c r="S21" s="271">
        <v>57</v>
      </c>
      <c r="T21" s="271" t="s">
        <v>641</v>
      </c>
      <c r="U21" s="271">
        <v>71</v>
      </c>
      <c r="V21" s="271" t="s">
        <v>631</v>
      </c>
      <c r="W21" s="271">
        <v>41</v>
      </c>
      <c r="X21" s="271" t="s">
        <v>631</v>
      </c>
      <c r="Y21" s="271" t="s">
        <v>630</v>
      </c>
      <c r="Z21" s="271" t="s">
        <v>631</v>
      </c>
      <c r="AA21" s="271">
        <v>11</v>
      </c>
      <c r="AB21" s="271" t="s">
        <v>631</v>
      </c>
      <c r="AC21" s="263"/>
      <c r="AD21" s="263"/>
    </row>
    <row r="22" spans="1:30" x14ac:dyDescent="0.2">
      <c r="A22" s="263"/>
      <c r="B22" s="270" t="s">
        <v>642</v>
      </c>
      <c r="C22" s="271">
        <v>37</v>
      </c>
      <c r="D22" s="271">
        <v>13</v>
      </c>
      <c r="E22" s="271" t="s">
        <v>630</v>
      </c>
      <c r="F22" s="271" t="s">
        <v>631</v>
      </c>
      <c r="G22" s="271" t="s">
        <v>630</v>
      </c>
      <c r="H22" s="271" t="s">
        <v>631</v>
      </c>
      <c r="I22" s="271" t="s">
        <v>630</v>
      </c>
      <c r="J22" s="271" t="s">
        <v>631</v>
      </c>
      <c r="K22" s="271">
        <v>49</v>
      </c>
      <c r="L22" s="271" t="s">
        <v>632</v>
      </c>
      <c r="M22" s="271" t="s">
        <v>630</v>
      </c>
      <c r="N22" s="271" t="s">
        <v>631</v>
      </c>
      <c r="O22" s="271">
        <v>5</v>
      </c>
      <c r="P22" s="271" t="s">
        <v>631</v>
      </c>
      <c r="Q22" s="271" t="s">
        <v>630</v>
      </c>
      <c r="R22" s="271" t="s">
        <v>631</v>
      </c>
      <c r="S22" s="271" t="s">
        <v>630</v>
      </c>
      <c r="T22" s="271" t="s">
        <v>631</v>
      </c>
      <c r="U22" s="271">
        <v>106</v>
      </c>
      <c r="V22" s="271" t="s">
        <v>631</v>
      </c>
      <c r="W22" s="271">
        <v>103</v>
      </c>
      <c r="X22" s="271" t="s">
        <v>631</v>
      </c>
      <c r="Y22" s="271" t="s">
        <v>630</v>
      </c>
      <c r="Z22" s="271" t="s">
        <v>631</v>
      </c>
      <c r="AA22" s="271" t="s">
        <v>630</v>
      </c>
      <c r="AB22" s="271" t="s">
        <v>631</v>
      </c>
      <c r="AC22" s="263"/>
      <c r="AD22" s="263"/>
    </row>
    <row r="23" spans="1:30" x14ac:dyDescent="0.2">
      <c r="A23" s="263"/>
      <c r="B23" s="270" t="s">
        <v>92</v>
      </c>
      <c r="C23" s="271">
        <v>937</v>
      </c>
      <c r="D23" s="271">
        <v>10</v>
      </c>
      <c r="E23" s="271">
        <v>1</v>
      </c>
      <c r="F23" s="271" t="s">
        <v>631</v>
      </c>
      <c r="G23" s="271">
        <v>7</v>
      </c>
      <c r="H23" s="271" t="s">
        <v>631</v>
      </c>
      <c r="I23" s="271">
        <v>3</v>
      </c>
      <c r="J23" s="271" t="s">
        <v>632</v>
      </c>
      <c r="K23" s="271">
        <v>21</v>
      </c>
      <c r="L23" s="271" t="s">
        <v>631</v>
      </c>
      <c r="M23" s="271">
        <v>3</v>
      </c>
      <c r="N23" s="271" t="s">
        <v>631</v>
      </c>
      <c r="O23" s="271">
        <v>3</v>
      </c>
      <c r="P23" s="271" t="s">
        <v>631</v>
      </c>
      <c r="Q23" s="271" t="s">
        <v>630</v>
      </c>
      <c r="R23" s="271" t="s">
        <v>631</v>
      </c>
      <c r="S23" s="271" t="s">
        <v>630</v>
      </c>
      <c r="T23" s="271" t="s">
        <v>631</v>
      </c>
      <c r="U23" s="271">
        <v>102</v>
      </c>
      <c r="V23" s="271" t="s">
        <v>631</v>
      </c>
      <c r="W23" s="271">
        <v>116</v>
      </c>
      <c r="X23" s="271" t="s">
        <v>631</v>
      </c>
      <c r="Y23" s="271">
        <v>53</v>
      </c>
      <c r="Z23" s="271" t="s">
        <v>631</v>
      </c>
      <c r="AA23" s="271">
        <v>51</v>
      </c>
      <c r="AB23" s="271" t="s">
        <v>631</v>
      </c>
      <c r="AC23" s="263"/>
      <c r="AD23" s="263"/>
    </row>
    <row r="24" spans="1:30" x14ac:dyDescent="0.2">
      <c r="A24" s="263"/>
      <c r="B24" s="270" t="s">
        <v>102</v>
      </c>
      <c r="C24" s="271">
        <v>1225</v>
      </c>
      <c r="D24" s="271">
        <v>11</v>
      </c>
      <c r="E24" s="271" t="s">
        <v>630</v>
      </c>
      <c r="F24" s="271" t="s">
        <v>631</v>
      </c>
      <c r="G24" s="271" t="s">
        <v>630</v>
      </c>
      <c r="H24" s="271" t="s">
        <v>631</v>
      </c>
      <c r="I24" s="271" t="s">
        <v>630</v>
      </c>
      <c r="J24" s="271" t="s">
        <v>631</v>
      </c>
      <c r="K24" s="271">
        <v>9</v>
      </c>
      <c r="L24" s="271" t="s">
        <v>631</v>
      </c>
      <c r="M24" s="271" t="s">
        <v>630</v>
      </c>
      <c r="N24" s="271" t="s">
        <v>631</v>
      </c>
      <c r="O24" s="271" t="s">
        <v>630</v>
      </c>
      <c r="P24" s="271" t="s">
        <v>631</v>
      </c>
      <c r="Q24" s="271" t="s">
        <v>630</v>
      </c>
      <c r="R24" s="271" t="s">
        <v>631</v>
      </c>
      <c r="S24" s="271" t="s">
        <v>630</v>
      </c>
      <c r="T24" s="271" t="s">
        <v>631</v>
      </c>
      <c r="U24" s="271">
        <v>120</v>
      </c>
      <c r="V24" s="271" t="s">
        <v>631</v>
      </c>
      <c r="W24" s="271">
        <v>101</v>
      </c>
      <c r="X24" s="271" t="s">
        <v>631</v>
      </c>
      <c r="Y24" s="271" t="s">
        <v>630</v>
      </c>
      <c r="Z24" s="271" t="s">
        <v>631</v>
      </c>
      <c r="AA24" s="271" t="s">
        <v>630</v>
      </c>
      <c r="AB24" s="271" t="s">
        <v>631</v>
      </c>
      <c r="AC24" s="263"/>
      <c r="AD24" s="263"/>
    </row>
    <row r="25" spans="1:30" x14ac:dyDescent="0.2">
      <c r="A25" s="263"/>
      <c r="B25" s="270" t="s">
        <v>643</v>
      </c>
      <c r="C25" s="271">
        <v>71</v>
      </c>
      <c r="D25" s="271">
        <v>21</v>
      </c>
      <c r="E25" s="271" t="s">
        <v>630</v>
      </c>
      <c r="F25" s="271" t="s">
        <v>631</v>
      </c>
      <c r="G25" s="271">
        <v>15</v>
      </c>
      <c r="H25" s="271" t="s">
        <v>631</v>
      </c>
      <c r="I25" s="271">
        <v>17</v>
      </c>
      <c r="J25" s="271" t="s">
        <v>631</v>
      </c>
      <c r="K25" s="271">
        <v>93</v>
      </c>
      <c r="L25" s="271" t="s">
        <v>632</v>
      </c>
      <c r="M25" s="271" t="s">
        <v>630</v>
      </c>
      <c r="N25" s="271" t="s">
        <v>631</v>
      </c>
      <c r="O25" s="271">
        <v>11</v>
      </c>
      <c r="P25" s="271" t="s">
        <v>631</v>
      </c>
      <c r="Q25" s="271" t="s">
        <v>630</v>
      </c>
      <c r="R25" s="271" t="s">
        <v>631</v>
      </c>
      <c r="S25" s="271" t="s">
        <v>630</v>
      </c>
      <c r="T25" s="271" t="s">
        <v>631</v>
      </c>
      <c r="U25" s="271">
        <v>96</v>
      </c>
      <c r="V25" s="271" t="s">
        <v>631</v>
      </c>
      <c r="W25" s="271">
        <v>60</v>
      </c>
      <c r="X25" s="271" t="s">
        <v>631</v>
      </c>
      <c r="Y25" s="271" t="s">
        <v>630</v>
      </c>
      <c r="Z25" s="271" t="s">
        <v>631</v>
      </c>
      <c r="AA25" s="271">
        <v>39</v>
      </c>
      <c r="AB25" s="271" t="s">
        <v>631</v>
      </c>
      <c r="AC25" s="263"/>
      <c r="AD25" s="263"/>
    </row>
    <row r="26" spans="1:30" x14ac:dyDescent="0.2">
      <c r="A26" s="263"/>
      <c r="B26" s="270" t="s">
        <v>644</v>
      </c>
      <c r="C26" s="271">
        <v>2395</v>
      </c>
      <c r="D26" s="271">
        <v>23</v>
      </c>
      <c r="E26" s="271">
        <v>2</v>
      </c>
      <c r="F26" s="271" t="s">
        <v>631</v>
      </c>
      <c r="G26" s="271">
        <v>14</v>
      </c>
      <c r="H26" s="271" t="s">
        <v>631</v>
      </c>
      <c r="I26" s="271">
        <v>23</v>
      </c>
      <c r="J26" s="271" t="s">
        <v>631</v>
      </c>
      <c r="K26" s="271">
        <v>98</v>
      </c>
      <c r="L26" s="271" t="s">
        <v>631</v>
      </c>
      <c r="M26" s="271">
        <v>16</v>
      </c>
      <c r="N26" s="271" t="s">
        <v>631</v>
      </c>
      <c r="O26" s="271">
        <v>15</v>
      </c>
      <c r="P26" s="271" t="s">
        <v>631</v>
      </c>
      <c r="Q26" s="271">
        <v>67</v>
      </c>
      <c r="R26" s="271" t="s">
        <v>631</v>
      </c>
      <c r="S26" s="271">
        <v>59</v>
      </c>
      <c r="T26" s="271" t="s">
        <v>631</v>
      </c>
      <c r="U26" s="271">
        <v>59</v>
      </c>
      <c r="V26" s="271" t="s">
        <v>631</v>
      </c>
      <c r="W26" s="271">
        <v>31</v>
      </c>
      <c r="X26" s="271" t="s">
        <v>631</v>
      </c>
      <c r="Y26" s="271">
        <v>27</v>
      </c>
      <c r="Z26" s="271" t="s">
        <v>631</v>
      </c>
      <c r="AA26" s="271">
        <v>26</v>
      </c>
      <c r="AB26" s="271" t="s">
        <v>631</v>
      </c>
      <c r="AC26" s="263"/>
      <c r="AD26" s="263"/>
    </row>
    <row r="27" spans="1:30" x14ac:dyDescent="0.2">
      <c r="A27" s="263"/>
      <c r="B27" s="270" t="s">
        <v>645</v>
      </c>
      <c r="C27" s="271">
        <v>146</v>
      </c>
      <c r="D27" s="271">
        <v>19</v>
      </c>
      <c r="E27" s="271" t="s">
        <v>630</v>
      </c>
      <c r="F27" s="271" t="s">
        <v>631</v>
      </c>
      <c r="G27" s="271">
        <v>15</v>
      </c>
      <c r="H27" s="271" t="s">
        <v>631</v>
      </c>
      <c r="I27" s="271">
        <v>15</v>
      </c>
      <c r="J27" s="271" t="s">
        <v>631</v>
      </c>
      <c r="K27" s="271">
        <v>59</v>
      </c>
      <c r="L27" s="271" t="s">
        <v>631</v>
      </c>
      <c r="M27" s="271" t="s">
        <v>630</v>
      </c>
      <c r="N27" s="271" t="s">
        <v>631</v>
      </c>
      <c r="O27" s="271">
        <v>70</v>
      </c>
      <c r="P27" s="271" t="s">
        <v>631</v>
      </c>
      <c r="Q27" s="271" t="s">
        <v>630</v>
      </c>
      <c r="R27" s="271" t="s">
        <v>631</v>
      </c>
      <c r="S27" s="271" t="s">
        <v>630</v>
      </c>
      <c r="T27" s="271" t="s">
        <v>631</v>
      </c>
      <c r="U27" s="271">
        <v>86</v>
      </c>
      <c r="V27" s="271" t="s">
        <v>631</v>
      </c>
      <c r="W27" s="271">
        <v>50</v>
      </c>
      <c r="X27" s="271" t="s">
        <v>631</v>
      </c>
      <c r="Y27" s="271" t="s">
        <v>630</v>
      </c>
      <c r="Z27" s="271" t="s">
        <v>631</v>
      </c>
      <c r="AA27" s="271">
        <v>22</v>
      </c>
      <c r="AB27" s="271" t="s">
        <v>631</v>
      </c>
      <c r="AC27" s="263"/>
      <c r="AD27" s="263"/>
    </row>
    <row r="28" spans="1:30" x14ac:dyDescent="0.2">
      <c r="A28" s="263"/>
      <c r="B28" s="270" t="s">
        <v>646</v>
      </c>
      <c r="C28" s="271">
        <v>2326</v>
      </c>
      <c r="D28" s="271">
        <v>22</v>
      </c>
      <c r="E28" s="271">
        <v>4</v>
      </c>
      <c r="F28" s="271" t="s">
        <v>631</v>
      </c>
      <c r="G28" s="271">
        <v>13</v>
      </c>
      <c r="H28" s="271" t="s">
        <v>631</v>
      </c>
      <c r="I28" s="271">
        <v>20</v>
      </c>
      <c r="J28" s="271" t="s">
        <v>632</v>
      </c>
      <c r="K28" s="271">
        <v>89</v>
      </c>
      <c r="L28" s="271" t="s">
        <v>632</v>
      </c>
      <c r="M28" s="271" t="s">
        <v>630</v>
      </c>
      <c r="N28" s="271" t="s">
        <v>631</v>
      </c>
      <c r="O28" s="271">
        <v>17</v>
      </c>
      <c r="P28" s="271" t="s">
        <v>631</v>
      </c>
      <c r="Q28" s="271">
        <v>100</v>
      </c>
      <c r="R28" s="271" t="s">
        <v>631</v>
      </c>
      <c r="S28" s="271">
        <v>97</v>
      </c>
      <c r="T28" s="271" t="s">
        <v>631</v>
      </c>
      <c r="U28" s="271">
        <v>91</v>
      </c>
      <c r="V28" s="271" t="s">
        <v>631</v>
      </c>
      <c r="W28" s="271">
        <v>70</v>
      </c>
      <c r="X28" s="271" t="s">
        <v>631</v>
      </c>
      <c r="Y28" s="271">
        <v>24</v>
      </c>
      <c r="Z28" s="271" t="s">
        <v>632</v>
      </c>
      <c r="AA28" s="271">
        <v>20</v>
      </c>
      <c r="AB28" s="271" t="s">
        <v>632</v>
      </c>
      <c r="AC28" s="263"/>
      <c r="AD28" s="263"/>
    </row>
    <row r="29" spans="1:30" x14ac:dyDescent="0.2">
      <c r="A29" s="263"/>
      <c r="B29" s="270" t="s">
        <v>93</v>
      </c>
      <c r="C29" s="271">
        <v>529</v>
      </c>
      <c r="D29" s="271">
        <v>14</v>
      </c>
      <c r="E29" s="272">
        <v>0</v>
      </c>
      <c r="F29" s="271" t="s">
        <v>631</v>
      </c>
      <c r="G29" s="271">
        <v>1</v>
      </c>
      <c r="H29" s="271" t="s">
        <v>631</v>
      </c>
      <c r="I29" s="271" t="s">
        <v>630</v>
      </c>
      <c r="J29" s="271" t="s">
        <v>631</v>
      </c>
      <c r="K29" s="271">
        <v>14</v>
      </c>
      <c r="L29" s="271" t="s">
        <v>631</v>
      </c>
      <c r="M29" s="271">
        <v>5</v>
      </c>
      <c r="N29" s="271" t="s">
        <v>631</v>
      </c>
      <c r="O29" s="271">
        <v>1</v>
      </c>
      <c r="P29" s="271" t="s">
        <v>631</v>
      </c>
      <c r="Q29" s="271">
        <v>100</v>
      </c>
      <c r="R29" s="271" t="s">
        <v>631</v>
      </c>
      <c r="S29" s="271">
        <v>100</v>
      </c>
      <c r="T29" s="271" t="s">
        <v>631</v>
      </c>
      <c r="U29" s="271" t="s">
        <v>630</v>
      </c>
      <c r="V29" s="271" t="s">
        <v>631</v>
      </c>
      <c r="W29" s="271">
        <v>74</v>
      </c>
      <c r="X29" s="271" t="s">
        <v>631</v>
      </c>
      <c r="Y29" s="271">
        <v>41</v>
      </c>
      <c r="Z29" s="271" t="s">
        <v>631</v>
      </c>
      <c r="AA29" s="271">
        <v>42</v>
      </c>
      <c r="AB29" s="271" t="s">
        <v>631</v>
      </c>
      <c r="AC29" s="263"/>
      <c r="AD29" s="263"/>
    </row>
    <row r="30" spans="1:30" x14ac:dyDescent="0.2">
      <c r="A30" s="263"/>
      <c r="B30" s="270" t="s">
        <v>647</v>
      </c>
      <c r="C30" s="271">
        <v>443</v>
      </c>
      <c r="D30" s="271">
        <v>22</v>
      </c>
      <c r="E30" s="271" t="s">
        <v>630</v>
      </c>
      <c r="F30" s="271" t="s">
        <v>631</v>
      </c>
      <c r="G30" s="271" t="s">
        <v>630</v>
      </c>
      <c r="H30" s="271" t="s">
        <v>631</v>
      </c>
      <c r="I30" s="271" t="s">
        <v>630</v>
      </c>
      <c r="J30" s="271" t="s">
        <v>631</v>
      </c>
      <c r="K30" s="271">
        <v>51</v>
      </c>
      <c r="L30" s="271" t="s">
        <v>632</v>
      </c>
      <c r="M30" s="271" t="s">
        <v>630</v>
      </c>
      <c r="N30" s="271" t="s">
        <v>631</v>
      </c>
      <c r="O30" s="271" t="s">
        <v>630</v>
      </c>
      <c r="P30" s="271" t="s">
        <v>631</v>
      </c>
      <c r="Q30" s="271" t="s">
        <v>630</v>
      </c>
      <c r="R30" s="271" t="s">
        <v>631</v>
      </c>
      <c r="S30" s="271" t="s">
        <v>630</v>
      </c>
      <c r="T30" s="271" t="s">
        <v>631</v>
      </c>
      <c r="U30" s="271">
        <v>90</v>
      </c>
      <c r="V30" s="271" t="s">
        <v>631</v>
      </c>
      <c r="W30" s="271">
        <v>68</v>
      </c>
      <c r="X30" s="271" t="s">
        <v>632</v>
      </c>
      <c r="Y30" s="271" t="s">
        <v>630</v>
      </c>
      <c r="Z30" s="271" t="s">
        <v>631</v>
      </c>
      <c r="AA30" s="271" t="s">
        <v>630</v>
      </c>
      <c r="AB30" s="271" t="s">
        <v>631</v>
      </c>
      <c r="AC30" s="263"/>
      <c r="AD30" s="263"/>
    </row>
    <row r="31" spans="1:30" x14ac:dyDescent="0.2">
      <c r="A31" s="263"/>
      <c r="B31" s="270" t="s">
        <v>648</v>
      </c>
      <c r="C31" s="271">
        <v>34389</v>
      </c>
      <c r="D31" s="271">
        <v>17</v>
      </c>
      <c r="E31" s="271">
        <v>1</v>
      </c>
      <c r="F31" s="271" t="s">
        <v>631</v>
      </c>
      <c r="G31" s="271">
        <v>4</v>
      </c>
      <c r="H31" s="271" t="s">
        <v>631</v>
      </c>
      <c r="I31" s="271" t="s">
        <v>630</v>
      </c>
      <c r="J31" s="271" t="s">
        <v>631</v>
      </c>
      <c r="K31" s="271">
        <v>65</v>
      </c>
      <c r="L31" s="271" t="s">
        <v>631</v>
      </c>
      <c r="M31" s="271" t="s">
        <v>630</v>
      </c>
      <c r="N31" s="271" t="s">
        <v>631</v>
      </c>
      <c r="O31" s="271" t="s">
        <v>630</v>
      </c>
      <c r="P31" s="271" t="s">
        <v>631</v>
      </c>
      <c r="Q31" s="271" t="s">
        <v>630</v>
      </c>
      <c r="R31" s="271" t="s">
        <v>631</v>
      </c>
      <c r="S31" s="271" t="s">
        <v>630</v>
      </c>
      <c r="T31" s="271" t="s">
        <v>631</v>
      </c>
      <c r="U31" s="271" t="s">
        <v>630</v>
      </c>
      <c r="V31" s="271" t="s">
        <v>631</v>
      </c>
      <c r="W31" s="271" t="s">
        <v>630</v>
      </c>
      <c r="X31" s="271" t="s">
        <v>631</v>
      </c>
      <c r="Y31" s="271" t="s">
        <v>630</v>
      </c>
      <c r="Z31" s="271" t="s">
        <v>631</v>
      </c>
      <c r="AA31" s="271" t="s">
        <v>630</v>
      </c>
      <c r="AB31" s="271" t="s">
        <v>631</v>
      </c>
      <c r="AC31" s="263"/>
      <c r="AD31" s="263"/>
    </row>
    <row r="32" spans="1:30" x14ac:dyDescent="0.2">
      <c r="A32" s="263"/>
      <c r="B32" s="270" t="s">
        <v>649</v>
      </c>
      <c r="C32" s="271">
        <v>71</v>
      </c>
      <c r="D32" s="271">
        <v>17</v>
      </c>
      <c r="E32" s="271" t="s">
        <v>630</v>
      </c>
      <c r="F32" s="271" t="s">
        <v>631</v>
      </c>
      <c r="G32" s="271" t="s">
        <v>630</v>
      </c>
      <c r="H32" s="271" t="s">
        <v>631</v>
      </c>
      <c r="I32" s="271" t="s">
        <v>630</v>
      </c>
      <c r="J32" s="271" t="s">
        <v>631</v>
      </c>
      <c r="K32" s="271">
        <v>17</v>
      </c>
      <c r="L32" s="271" t="s">
        <v>631</v>
      </c>
      <c r="M32" s="271" t="s">
        <v>630</v>
      </c>
      <c r="N32" s="271" t="s">
        <v>631</v>
      </c>
      <c r="O32" s="271" t="s">
        <v>630</v>
      </c>
      <c r="P32" s="271" t="s">
        <v>631</v>
      </c>
      <c r="Q32" s="271" t="s">
        <v>630</v>
      </c>
      <c r="R32" s="271" t="s">
        <v>631</v>
      </c>
      <c r="S32" s="271" t="s">
        <v>630</v>
      </c>
      <c r="T32" s="271" t="s">
        <v>631</v>
      </c>
      <c r="U32" s="271">
        <v>110</v>
      </c>
      <c r="V32" s="271" t="s">
        <v>631</v>
      </c>
      <c r="W32" s="271">
        <v>107</v>
      </c>
      <c r="X32" s="271" t="s">
        <v>631</v>
      </c>
      <c r="Y32" s="271" t="s">
        <v>630</v>
      </c>
      <c r="Z32" s="271" t="s">
        <v>631</v>
      </c>
      <c r="AA32" s="271" t="s">
        <v>630</v>
      </c>
      <c r="AB32" s="271" t="s">
        <v>631</v>
      </c>
      <c r="AC32" s="263"/>
      <c r="AD32" s="263"/>
    </row>
    <row r="33" spans="1:30" x14ac:dyDescent="0.2">
      <c r="A33" s="263"/>
      <c r="B33" s="270" t="s">
        <v>104</v>
      </c>
      <c r="C33" s="271">
        <v>651</v>
      </c>
      <c r="D33" s="271">
        <v>9</v>
      </c>
      <c r="E33" s="271" t="s">
        <v>630</v>
      </c>
      <c r="F33" s="271" t="s">
        <v>631</v>
      </c>
      <c r="G33" s="271">
        <v>2</v>
      </c>
      <c r="H33" s="271" t="s">
        <v>641</v>
      </c>
      <c r="I33" s="271" t="s">
        <v>630</v>
      </c>
      <c r="J33" s="271" t="s">
        <v>631</v>
      </c>
      <c r="K33" s="271">
        <v>42</v>
      </c>
      <c r="L33" s="271" t="s">
        <v>631</v>
      </c>
      <c r="M33" s="271" t="s">
        <v>630</v>
      </c>
      <c r="N33" s="271" t="s">
        <v>631</v>
      </c>
      <c r="O33" s="271" t="s">
        <v>630</v>
      </c>
      <c r="P33" s="271" t="s">
        <v>631</v>
      </c>
      <c r="Q33" s="271" t="s">
        <v>630</v>
      </c>
      <c r="R33" s="271" t="s">
        <v>631</v>
      </c>
      <c r="S33" s="271" t="s">
        <v>630</v>
      </c>
      <c r="T33" s="271" t="s">
        <v>631</v>
      </c>
      <c r="U33" s="271">
        <v>87</v>
      </c>
      <c r="V33" s="271" t="s">
        <v>631</v>
      </c>
      <c r="W33" s="271">
        <v>99</v>
      </c>
      <c r="X33" s="271" t="s">
        <v>631</v>
      </c>
      <c r="Y33" s="271" t="s">
        <v>630</v>
      </c>
      <c r="Z33" s="271" t="s">
        <v>631</v>
      </c>
      <c r="AA33" s="271" t="s">
        <v>630</v>
      </c>
      <c r="AB33" s="271" t="s">
        <v>631</v>
      </c>
      <c r="AC33" s="263"/>
      <c r="AD33" s="263"/>
    </row>
    <row r="34" spans="1:30" x14ac:dyDescent="0.2">
      <c r="A34" s="263"/>
      <c r="B34" s="270" t="s">
        <v>650</v>
      </c>
      <c r="C34" s="271">
        <v>4027</v>
      </c>
      <c r="D34" s="271">
        <v>24</v>
      </c>
      <c r="E34" s="271">
        <v>2</v>
      </c>
      <c r="F34" s="271" t="s">
        <v>631</v>
      </c>
      <c r="G34" s="271">
        <v>32</v>
      </c>
      <c r="H34" s="271" t="s">
        <v>631</v>
      </c>
      <c r="I34" s="271">
        <v>28</v>
      </c>
      <c r="J34" s="271" t="s">
        <v>631</v>
      </c>
      <c r="K34" s="271">
        <v>136</v>
      </c>
      <c r="L34" s="271" t="s">
        <v>631</v>
      </c>
      <c r="M34" s="271">
        <v>40</v>
      </c>
      <c r="N34" s="271" t="s">
        <v>631</v>
      </c>
      <c r="O34" s="271">
        <v>39</v>
      </c>
      <c r="P34" s="271" t="s">
        <v>631</v>
      </c>
      <c r="Q34" s="271">
        <v>61</v>
      </c>
      <c r="R34" s="271" t="s">
        <v>631</v>
      </c>
      <c r="S34" s="271">
        <v>55</v>
      </c>
      <c r="T34" s="271" t="s">
        <v>631</v>
      </c>
      <c r="U34" s="271">
        <v>36</v>
      </c>
      <c r="V34" s="271" t="s">
        <v>631</v>
      </c>
      <c r="W34" s="271">
        <v>11</v>
      </c>
      <c r="X34" s="271" t="s">
        <v>631</v>
      </c>
      <c r="Y34" s="271">
        <v>31</v>
      </c>
      <c r="Z34" s="271" t="s">
        <v>631</v>
      </c>
      <c r="AA34" s="271">
        <v>29</v>
      </c>
      <c r="AB34" s="271" t="s">
        <v>631</v>
      </c>
      <c r="AC34" s="263"/>
      <c r="AD34" s="263"/>
    </row>
    <row r="35" spans="1:30" x14ac:dyDescent="0.2">
      <c r="A35" s="263"/>
      <c r="B35" s="270" t="s">
        <v>651</v>
      </c>
      <c r="C35" s="271">
        <v>2219</v>
      </c>
      <c r="D35" s="271">
        <v>22</v>
      </c>
      <c r="E35" s="271">
        <v>1</v>
      </c>
      <c r="F35" s="271" t="s">
        <v>631</v>
      </c>
      <c r="G35" s="271">
        <v>9</v>
      </c>
      <c r="H35" s="271" t="s">
        <v>631</v>
      </c>
      <c r="I35" s="271">
        <v>11</v>
      </c>
      <c r="J35" s="271" t="s">
        <v>631</v>
      </c>
      <c r="K35" s="271">
        <v>65</v>
      </c>
      <c r="L35" s="271" t="s">
        <v>631</v>
      </c>
      <c r="M35" s="271">
        <v>56</v>
      </c>
      <c r="N35" s="271" t="s">
        <v>631</v>
      </c>
      <c r="O35" s="271">
        <v>74</v>
      </c>
      <c r="P35" s="271" t="s">
        <v>631</v>
      </c>
      <c r="Q35" s="271">
        <v>83</v>
      </c>
      <c r="R35" s="271" t="s">
        <v>631</v>
      </c>
      <c r="S35" s="271">
        <v>69</v>
      </c>
      <c r="T35" s="271" t="s">
        <v>631</v>
      </c>
      <c r="U35" s="271">
        <v>39</v>
      </c>
      <c r="V35" s="271" t="s">
        <v>631</v>
      </c>
      <c r="W35" s="271">
        <v>15</v>
      </c>
      <c r="X35" s="271" t="s">
        <v>631</v>
      </c>
      <c r="Y35" s="271">
        <v>45</v>
      </c>
      <c r="Z35" s="271" t="s">
        <v>631</v>
      </c>
      <c r="AA35" s="271">
        <v>43</v>
      </c>
      <c r="AB35" s="271" t="s">
        <v>631</v>
      </c>
      <c r="AC35" s="263"/>
      <c r="AD35" s="263"/>
    </row>
    <row r="36" spans="1:30" x14ac:dyDescent="0.2">
      <c r="A36" s="263"/>
      <c r="B36" s="270" t="s">
        <v>652</v>
      </c>
      <c r="C36" s="271">
        <v>106</v>
      </c>
      <c r="D36" s="271">
        <v>21</v>
      </c>
      <c r="E36" s="271">
        <v>2</v>
      </c>
      <c r="F36" s="271" t="s">
        <v>631</v>
      </c>
      <c r="G36" s="271">
        <v>8</v>
      </c>
      <c r="H36" s="271" t="s">
        <v>631</v>
      </c>
      <c r="I36" s="271">
        <v>22</v>
      </c>
      <c r="J36" s="271" t="s">
        <v>632</v>
      </c>
      <c r="K36" s="271">
        <v>92</v>
      </c>
      <c r="L36" s="271" t="s">
        <v>632</v>
      </c>
      <c r="M36" s="271">
        <v>24</v>
      </c>
      <c r="N36" s="271" t="s">
        <v>631</v>
      </c>
      <c r="O36" s="271">
        <v>23</v>
      </c>
      <c r="P36" s="271" t="s">
        <v>631</v>
      </c>
      <c r="Q36" s="271">
        <v>88</v>
      </c>
      <c r="R36" s="271" t="s">
        <v>631</v>
      </c>
      <c r="S36" s="271">
        <v>88</v>
      </c>
      <c r="T36" s="271" t="s">
        <v>631</v>
      </c>
      <c r="U36" s="271">
        <v>115</v>
      </c>
      <c r="V36" s="271" t="s">
        <v>631</v>
      </c>
      <c r="W36" s="271">
        <v>72</v>
      </c>
      <c r="X36" s="271" t="s">
        <v>631</v>
      </c>
      <c r="Y36" s="271" t="s">
        <v>630</v>
      </c>
      <c r="Z36" s="271" t="s">
        <v>631</v>
      </c>
      <c r="AA36" s="271" t="s">
        <v>630</v>
      </c>
      <c r="AB36" s="271" t="s">
        <v>631</v>
      </c>
      <c r="AC36" s="263"/>
      <c r="AD36" s="263"/>
    </row>
    <row r="37" spans="1:30" x14ac:dyDescent="0.2">
      <c r="A37" s="263"/>
      <c r="B37" s="270" t="s">
        <v>653</v>
      </c>
      <c r="C37" s="271">
        <v>2980</v>
      </c>
      <c r="D37" s="271">
        <v>20</v>
      </c>
      <c r="E37" s="271">
        <v>2</v>
      </c>
      <c r="F37" s="271" t="s">
        <v>631</v>
      </c>
      <c r="G37" s="271">
        <v>10</v>
      </c>
      <c r="H37" s="271" t="s">
        <v>631</v>
      </c>
      <c r="I37" s="271">
        <v>7</v>
      </c>
      <c r="J37" s="271" t="s">
        <v>631</v>
      </c>
      <c r="K37" s="271">
        <v>30</v>
      </c>
      <c r="L37" s="271" t="s">
        <v>631</v>
      </c>
      <c r="M37" s="271">
        <v>24</v>
      </c>
      <c r="N37" s="271" t="s">
        <v>631</v>
      </c>
      <c r="O37" s="271">
        <v>42</v>
      </c>
      <c r="P37" s="271" t="s">
        <v>631</v>
      </c>
      <c r="Q37" s="271">
        <v>73</v>
      </c>
      <c r="R37" s="271" t="s">
        <v>631</v>
      </c>
      <c r="S37" s="271">
        <v>76</v>
      </c>
      <c r="T37" s="271" t="s">
        <v>631</v>
      </c>
      <c r="U37" s="271">
        <v>63</v>
      </c>
      <c r="V37" s="271" t="s">
        <v>631</v>
      </c>
      <c r="W37" s="271">
        <v>28</v>
      </c>
      <c r="X37" s="271" t="s">
        <v>632</v>
      </c>
      <c r="Y37" s="271">
        <v>41</v>
      </c>
      <c r="Z37" s="271" t="s">
        <v>631</v>
      </c>
      <c r="AA37" s="271">
        <v>43</v>
      </c>
      <c r="AB37" s="271" t="s">
        <v>631</v>
      </c>
      <c r="AC37" s="263"/>
      <c r="AD37" s="263"/>
    </row>
    <row r="38" spans="1:30" x14ac:dyDescent="0.2">
      <c r="A38" s="263"/>
      <c r="B38" s="270" t="s">
        <v>654</v>
      </c>
      <c r="C38" s="271">
        <v>5163</v>
      </c>
      <c r="D38" s="271">
        <v>23</v>
      </c>
      <c r="E38" s="271">
        <v>2</v>
      </c>
      <c r="F38" s="271" t="s">
        <v>631</v>
      </c>
      <c r="G38" s="271">
        <v>24</v>
      </c>
      <c r="H38" s="271" t="s">
        <v>631</v>
      </c>
      <c r="I38" s="271">
        <v>30</v>
      </c>
      <c r="J38" s="271" t="s">
        <v>631</v>
      </c>
      <c r="K38" s="271">
        <v>128</v>
      </c>
      <c r="L38" s="271" t="s">
        <v>631</v>
      </c>
      <c r="M38" s="271">
        <v>43</v>
      </c>
      <c r="N38" s="271" t="s">
        <v>631</v>
      </c>
      <c r="O38" s="271">
        <v>50</v>
      </c>
      <c r="P38" s="271" t="s">
        <v>631</v>
      </c>
      <c r="Q38" s="271">
        <v>77</v>
      </c>
      <c r="R38" s="271" t="s">
        <v>631</v>
      </c>
      <c r="S38" s="271">
        <v>66</v>
      </c>
      <c r="T38" s="271" t="s">
        <v>631</v>
      </c>
      <c r="U38" s="271">
        <v>60</v>
      </c>
      <c r="V38" s="271" t="s">
        <v>631</v>
      </c>
      <c r="W38" s="271">
        <v>36</v>
      </c>
      <c r="X38" s="271" t="s">
        <v>631</v>
      </c>
      <c r="Y38" s="271">
        <v>30</v>
      </c>
      <c r="Z38" s="271" t="s">
        <v>631</v>
      </c>
      <c r="AA38" s="271">
        <v>26</v>
      </c>
      <c r="AB38" s="271" t="s">
        <v>631</v>
      </c>
      <c r="AC38" s="263"/>
      <c r="AD38" s="263"/>
    </row>
    <row r="39" spans="1:30" x14ac:dyDescent="0.2">
      <c r="A39" s="263"/>
      <c r="B39" s="270" t="s">
        <v>655</v>
      </c>
      <c r="C39" s="271">
        <v>4034</v>
      </c>
      <c r="D39" s="271">
        <v>11</v>
      </c>
      <c r="E39" s="271" t="s">
        <v>630</v>
      </c>
      <c r="F39" s="271" t="s">
        <v>631</v>
      </c>
      <c r="G39" s="271" t="s">
        <v>630</v>
      </c>
      <c r="H39" s="271" t="s">
        <v>631</v>
      </c>
      <c r="I39" s="271" t="s">
        <v>630</v>
      </c>
      <c r="J39" s="271" t="s">
        <v>631</v>
      </c>
      <c r="K39" s="271">
        <v>14</v>
      </c>
      <c r="L39" s="271" t="s">
        <v>631</v>
      </c>
      <c r="M39" s="271" t="s">
        <v>630</v>
      </c>
      <c r="N39" s="271" t="s">
        <v>631</v>
      </c>
      <c r="O39" s="271" t="s">
        <v>630</v>
      </c>
      <c r="P39" s="271" t="s">
        <v>631</v>
      </c>
      <c r="Q39" s="271" t="s">
        <v>630</v>
      </c>
      <c r="R39" s="271" t="s">
        <v>631</v>
      </c>
      <c r="S39" s="271" t="s">
        <v>630</v>
      </c>
      <c r="T39" s="271" t="s">
        <v>631</v>
      </c>
      <c r="U39" s="271">
        <v>100</v>
      </c>
      <c r="V39" s="271" t="s">
        <v>631</v>
      </c>
      <c r="W39" s="271">
        <v>105</v>
      </c>
      <c r="X39" s="271" t="s">
        <v>631</v>
      </c>
      <c r="Y39" s="271" t="s">
        <v>630</v>
      </c>
      <c r="Z39" s="271" t="s">
        <v>631</v>
      </c>
      <c r="AA39" s="271" t="s">
        <v>630</v>
      </c>
      <c r="AB39" s="271" t="s">
        <v>631</v>
      </c>
      <c r="AC39" s="263"/>
      <c r="AD39" s="263"/>
    </row>
    <row r="40" spans="1:30" x14ac:dyDescent="0.2">
      <c r="A40" s="263"/>
      <c r="B40" s="270" t="s">
        <v>656</v>
      </c>
      <c r="C40" s="271">
        <v>1061</v>
      </c>
      <c r="D40" s="271">
        <v>23</v>
      </c>
      <c r="E40" s="271">
        <v>11</v>
      </c>
      <c r="F40" s="271" t="s">
        <v>631</v>
      </c>
      <c r="G40" s="271">
        <v>55</v>
      </c>
      <c r="H40" s="271" t="s">
        <v>631</v>
      </c>
      <c r="I40" s="271">
        <v>45</v>
      </c>
      <c r="J40" s="271" t="s">
        <v>631</v>
      </c>
      <c r="K40" s="271">
        <v>229</v>
      </c>
      <c r="L40" s="271" t="s">
        <v>631</v>
      </c>
      <c r="M40" s="271">
        <v>83</v>
      </c>
      <c r="N40" s="271" t="s">
        <v>631</v>
      </c>
      <c r="O40" s="271">
        <v>79</v>
      </c>
      <c r="P40" s="271" t="s">
        <v>631</v>
      </c>
      <c r="Q40" s="271" t="s">
        <v>630</v>
      </c>
      <c r="R40" s="271" t="s">
        <v>631</v>
      </c>
      <c r="S40" s="271" t="s">
        <v>630</v>
      </c>
      <c r="T40" s="271" t="s">
        <v>631</v>
      </c>
      <c r="U40" s="271">
        <v>24</v>
      </c>
      <c r="V40" s="271" t="s">
        <v>631</v>
      </c>
      <c r="W40" s="271">
        <v>9</v>
      </c>
      <c r="X40" s="271" t="s">
        <v>631</v>
      </c>
      <c r="Y40" s="271">
        <v>26</v>
      </c>
      <c r="Z40" s="271" t="s">
        <v>631</v>
      </c>
      <c r="AA40" s="271">
        <v>17</v>
      </c>
      <c r="AB40" s="271" t="s">
        <v>631</v>
      </c>
      <c r="AC40" s="263"/>
      <c r="AD40" s="263"/>
    </row>
    <row r="41" spans="1:30" x14ac:dyDescent="0.2">
      <c r="A41" s="263"/>
      <c r="B41" s="270" t="s">
        <v>657</v>
      </c>
      <c r="C41" s="271">
        <v>3125</v>
      </c>
      <c r="D41" s="271">
        <v>24</v>
      </c>
      <c r="E41" s="271" t="s">
        <v>630</v>
      </c>
      <c r="F41" s="271" t="s">
        <v>631</v>
      </c>
      <c r="G41" s="271">
        <v>48</v>
      </c>
      <c r="H41" s="271" t="s">
        <v>631</v>
      </c>
      <c r="I41" s="271">
        <v>47</v>
      </c>
      <c r="J41" s="271" t="s">
        <v>631</v>
      </c>
      <c r="K41" s="271">
        <v>203</v>
      </c>
      <c r="L41" s="271" t="s">
        <v>631</v>
      </c>
      <c r="M41" s="271" t="s">
        <v>630</v>
      </c>
      <c r="N41" s="271" t="s">
        <v>631</v>
      </c>
      <c r="O41" s="271">
        <v>59</v>
      </c>
      <c r="P41" s="271" t="s">
        <v>631</v>
      </c>
      <c r="Q41" s="271">
        <v>55</v>
      </c>
      <c r="R41" s="271" t="s">
        <v>632</v>
      </c>
      <c r="S41" s="271">
        <v>24</v>
      </c>
      <c r="T41" s="271" t="s">
        <v>632</v>
      </c>
      <c r="U41" s="271">
        <v>26</v>
      </c>
      <c r="V41" s="271" t="s">
        <v>631</v>
      </c>
      <c r="W41" s="271">
        <v>17</v>
      </c>
      <c r="X41" s="271" t="s">
        <v>631</v>
      </c>
      <c r="Y41" s="271" t="s">
        <v>630</v>
      </c>
      <c r="Z41" s="271" t="s">
        <v>631</v>
      </c>
      <c r="AA41" s="271">
        <v>10</v>
      </c>
      <c r="AB41" s="271" t="s">
        <v>631</v>
      </c>
      <c r="AC41" s="263"/>
      <c r="AD41" s="263"/>
    </row>
    <row r="42" spans="1:30" x14ac:dyDescent="0.2">
      <c r="A42" s="263"/>
      <c r="B42" s="270" t="s">
        <v>658</v>
      </c>
      <c r="C42" s="271">
        <v>2669</v>
      </c>
      <c r="D42" s="271">
        <v>15</v>
      </c>
      <c r="E42" s="271" t="s">
        <v>630</v>
      </c>
      <c r="F42" s="271" t="s">
        <v>631</v>
      </c>
      <c r="G42" s="271" t="s">
        <v>630</v>
      </c>
      <c r="H42" s="271" t="s">
        <v>631</v>
      </c>
      <c r="I42" s="271" t="s">
        <v>630</v>
      </c>
      <c r="J42" s="271" t="s">
        <v>631</v>
      </c>
      <c r="K42" s="271">
        <v>52</v>
      </c>
      <c r="L42" s="271" t="s">
        <v>631</v>
      </c>
      <c r="M42" s="271" t="s">
        <v>630</v>
      </c>
      <c r="N42" s="271" t="s">
        <v>631</v>
      </c>
      <c r="O42" s="271" t="s">
        <v>630</v>
      </c>
      <c r="P42" s="271" t="s">
        <v>631</v>
      </c>
      <c r="Q42" s="271" t="s">
        <v>630</v>
      </c>
      <c r="R42" s="271" t="s">
        <v>631</v>
      </c>
      <c r="S42" s="271" t="s">
        <v>630</v>
      </c>
      <c r="T42" s="271" t="s">
        <v>631</v>
      </c>
      <c r="U42" s="271">
        <v>98</v>
      </c>
      <c r="V42" s="271" t="s">
        <v>631</v>
      </c>
      <c r="W42" s="271">
        <v>85</v>
      </c>
      <c r="X42" s="271" t="s">
        <v>631</v>
      </c>
      <c r="Y42" s="271" t="s">
        <v>630</v>
      </c>
      <c r="Z42" s="271" t="s">
        <v>631</v>
      </c>
      <c r="AA42" s="271" t="s">
        <v>630</v>
      </c>
      <c r="AB42" s="271" t="s">
        <v>631</v>
      </c>
      <c r="AC42" s="263"/>
      <c r="AD42" s="263"/>
    </row>
    <row r="43" spans="1:30" x14ac:dyDescent="0.2">
      <c r="A43" s="263"/>
      <c r="B43" s="270" t="s">
        <v>659</v>
      </c>
      <c r="C43" s="271">
        <v>168684</v>
      </c>
      <c r="D43" s="271">
        <v>12</v>
      </c>
      <c r="E43" s="271" t="s">
        <v>630</v>
      </c>
      <c r="F43" s="271" t="s">
        <v>631</v>
      </c>
      <c r="G43" s="271">
        <v>2</v>
      </c>
      <c r="H43" s="271" t="s">
        <v>631</v>
      </c>
      <c r="I43" s="271" t="s">
        <v>630</v>
      </c>
      <c r="J43" s="271" t="s">
        <v>631</v>
      </c>
      <c r="K43" s="271">
        <v>6</v>
      </c>
      <c r="L43" s="271" t="s">
        <v>631</v>
      </c>
      <c r="M43" s="271" t="s">
        <v>630</v>
      </c>
      <c r="N43" s="271" t="s">
        <v>631</v>
      </c>
      <c r="O43" s="271" t="s">
        <v>630</v>
      </c>
      <c r="P43" s="271" t="s">
        <v>631</v>
      </c>
      <c r="Q43" s="271" t="s">
        <v>630</v>
      </c>
      <c r="R43" s="271" t="s">
        <v>631</v>
      </c>
      <c r="S43" s="271" t="s">
        <v>630</v>
      </c>
      <c r="T43" s="271" t="s">
        <v>631</v>
      </c>
      <c r="U43" s="271">
        <v>104</v>
      </c>
      <c r="V43" s="271" t="s">
        <v>631</v>
      </c>
      <c r="W43" s="271">
        <v>77</v>
      </c>
      <c r="X43" s="271" t="s">
        <v>631</v>
      </c>
      <c r="Y43" s="271" t="s">
        <v>630</v>
      </c>
      <c r="Z43" s="271" t="s">
        <v>631</v>
      </c>
      <c r="AA43" s="271" t="s">
        <v>630</v>
      </c>
      <c r="AB43" s="271" t="s">
        <v>631</v>
      </c>
      <c r="AC43" s="263"/>
      <c r="AD43" s="263"/>
    </row>
    <row r="44" spans="1:30" x14ac:dyDescent="0.2">
      <c r="A44" s="263"/>
      <c r="B44" s="270" t="s">
        <v>660</v>
      </c>
      <c r="C44" s="271">
        <v>8796</v>
      </c>
      <c r="D44" s="271">
        <v>18</v>
      </c>
      <c r="E44" s="271" t="s">
        <v>630</v>
      </c>
      <c r="F44" s="271" t="s">
        <v>631</v>
      </c>
      <c r="G44" s="271">
        <v>14</v>
      </c>
      <c r="H44" s="271" t="s">
        <v>631</v>
      </c>
      <c r="I44" s="271">
        <v>20</v>
      </c>
      <c r="J44" s="271" t="s">
        <v>631</v>
      </c>
      <c r="K44" s="271">
        <v>85</v>
      </c>
      <c r="L44" s="271" t="s">
        <v>632</v>
      </c>
      <c r="M44" s="271" t="s">
        <v>630</v>
      </c>
      <c r="N44" s="271" t="s">
        <v>631</v>
      </c>
      <c r="O44" s="271" t="s">
        <v>630</v>
      </c>
      <c r="P44" s="271" t="s">
        <v>631</v>
      </c>
      <c r="Q44" s="271" t="s">
        <v>630</v>
      </c>
      <c r="R44" s="271" t="s">
        <v>631</v>
      </c>
      <c r="S44" s="271" t="s">
        <v>630</v>
      </c>
      <c r="T44" s="271" t="s">
        <v>631</v>
      </c>
      <c r="U44" s="271">
        <v>101</v>
      </c>
      <c r="V44" s="271" t="s">
        <v>631</v>
      </c>
      <c r="W44" s="271">
        <v>76</v>
      </c>
      <c r="X44" s="271" t="s">
        <v>631</v>
      </c>
      <c r="Y44" s="271" t="s">
        <v>630</v>
      </c>
      <c r="Z44" s="271" t="s">
        <v>631</v>
      </c>
      <c r="AA44" s="271">
        <v>21</v>
      </c>
      <c r="AB44" s="271" t="s">
        <v>631</v>
      </c>
      <c r="AC44" s="263"/>
      <c r="AD44" s="263"/>
    </row>
    <row r="45" spans="1:30" x14ac:dyDescent="0.2">
      <c r="A45" s="263"/>
      <c r="B45" s="270" t="s">
        <v>661</v>
      </c>
      <c r="C45" s="271">
        <v>161</v>
      </c>
      <c r="D45" s="271">
        <v>22</v>
      </c>
      <c r="E45" s="271">
        <v>8</v>
      </c>
      <c r="F45" s="271" t="s">
        <v>631</v>
      </c>
      <c r="G45" s="271">
        <v>16</v>
      </c>
      <c r="H45" s="271" t="s">
        <v>631</v>
      </c>
      <c r="I45" s="271" t="s">
        <v>630</v>
      </c>
      <c r="J45" s="271" t="s">
        <v>631</v>
      </c>
      <c r="K45" s="271">
        <v>70</v>
      </c>
      <c r="L45" s="271" t="s">
        <v>631</v>
      </c>
      <c r="M45" s="271">
        <v>17</v>
      </c>
      <c r="N45" s="271" t="s">
        <v>631</v>
      </c>
      <c r="O45" s="271">
        <v>43</v>
      </c>
      <c r="P45" s="271" t="s">
        <v>631</v>
      </c>
      <c r="Q45" s="271">
        <v>79</v>
      </c>
      <c r="R45" s="271" t="s">
        <v>631</v>
      </c>
      <c r="S45" s="271">
        <v>67</v>
      </c>
      <c r="T45" s="271" t="s">
        <v>631</v>
      </c>
      <c r="U45" s="271">
        <v>75</v>
      </c>
      <c r="V45" s="271" t="s">
        <v>631</v>
      </c>
      <c r="W45" s="271">
        <v>71</v>
      </c>
      <c r="X45" s="271" t="s">
        <v>631</v>
      </c>
      <c r="Y45" s="271">
        <v>21</v>
      </c>
      <c r="Z45" s="271" t="s">
        <v>631</v>
      </c>
      <c r="AA45" s="271">
        <v>18</v>
      </c>
      <c r="AB45" s="271" t="s">
        <v>631</v>
      </c>
      <c r="AC45" s="263"/>
      <c r="AD45" s="263"/>
    </row>
    <row r="46" spans="1:30" x14ac:dyDescent="0.2">
      <c r="A46" s="263"/>
      <c r="B46" s="270" t="s">
        <v>662</v>
      </c>
      <c r="C46" s="271">
        <v>976</v>
      </c>
      <c r="D46" s="271">
        <v>22</v>
      </c>
      <c r="E46" s="271">
        <v>3</v>
      </c>
      <c r="F46" s="271" t="s">
        <v>631</v>
      </c>
      <c r="G46" s="271">
        <v>19</v>
      </c>
      <c r="H46" s="271" t="s">
        <v>631</v>
      </c>
      <c r="I46" s="271">
        <v>30</v>
      </c>
      <c r="J46" s="271" t="s">
        <v>631</v>
      </c>
      <c r="K46" s="271">
        <v>147</v>
      </c>
      <c r="L46" s="271" t="s">
        <v>631</v>
      </c>
      <c r="M46" s="271">
        <v>76</v>
      </c>
      <c r="N46" s="271" t="s">
        <v>641</v>
      </c>
      <c r="O46" s="271">
        <v>73</v>
      </c>
      <c r="P46" s="271" t="s">
        <v>641</v>
      </c>
      <c r="Q46" s="271">
        <v>56</v>
      </c>
      <c r="R46" s="271" t="s">
        <v>631</v>
      </c>
      <c r="S46" s="271">
        <v>68</v>
      </c>
      <c r="T46" s="271" t="s">
        <v>631</v>
      </c>
      <c r="U46" s="271">
        <v>64</v>
      </c>
      <c r="V46" s="271" t="s">
        <v>631</v>
      </c>
      <c r="W46" s="271">
        <v>38</v>
      </c>
      <c r="X46" s="271" t="s">
        <v>631</v>
      </c>
      <c r="Y46" s="271">
        <v>25</v>
      </c>
      <c r="Z46" s="271" t="s">
        <v>631</v>
      </c>
      <c r="AA46" s="271">
        <v>16</v>
      </c>
      <c r="AB46" s="271" t="s">
        <v>631</v>
      </c>
      <c r="AC46" s="263"/>
      <c r="AD46" s="263"/>
    </row>
    <row r="47" spans="1:30" x14ac:dyDescent="0.2">
      <c r="A47" s="263"/>
      <c r="B47" s="270" t="s">
        <v>663</v>
      </c>
      <c r="C47" s="271" t="s">
        <v>630</v>
      </c>
      <c r="D47" s="271" t="s">
        <v>630</v>
      </c>
      <c r="E47" s="271" t="s">
        <v>630</v>
      </c>
      <c r="F47" s="271" t="s">
        <v>631</v>
      </c>
      <c r="G47" s="271" t="s">
        <v>630</v>
      </c>
      <c r="H47" s="271" t="s">
        <v>631</v>
      </c>
      <c r="I47" s="271" t="s">
        <v>630</v>
      </c>
      <c r="J47" s="271" t="s">
        <v>631</v>
      </c>
      <c r="K47" s="271">
        <v>56</v>
      </c>
      <c r="L47" s="271" t="s">
        <v>631</v>
      </c>
      <c r="M47" s="271" t="s">
        <v>630</v>
      </c>
      <c r="N47" s="271" t="s">
        <v>631</v>
      </c>
      <c r="O47" s="271" t="s">
        <v>630</v>
      </c>
      <c r="P47" s="271" t="s">
        <v>631</v>
      </c>
      <c r="Q47" s="271" t="s">
        <v>630</v>
      </c>
      <c r="R47" s="271" t="s">
        <v>631</v>
      </c>
      <c r="S47" s="271" t="s">
        <v>630</v>
      </c>
      <c r="T47" s="271" t="s">
        <v>631</v>
      </c>
      <c r="U47" s="271">
        <v>99</v>
      </c>
      <c r="V47" s="271" t="s">
        <v>631</v>
      </c>
      <c r="W47" s="271">
        <v>74</v>
      </c>
      <c r="X47" s="271" t="s">
        <v>631</v>
      </c>
      <c r="Y47" s="271" t="s">
        <v>630</v>
      </c>
      <c r="Z47" s="271" t="s">
        <v>631</v>
      </c>
      <c r="AA47" s="271" t="s">
        <v>630</v>
      </c>
      <c r="AB47" s="271" t="s">
        <v>631</v>
      </c>
      <c r="AC47" s="263"/>
      <c r="AD47" s="263"/>
    </row>
    <row r="48" spans="1:30" x14ac:dyDescent="0.2">
      <c r="A48" s="263"/>
      <c r="B48" s="270" t="s">
        <v>664</v>
      </c>
      <c r="C48" s="271">
        <v>826</v>
      </c>
      <c r="D48" s="271">
        <v>17</v>
      </c>
      <c r="E48" s="271" t="s">
        <v>630</v>
      </c>
      <c r="F48" s="271" t="s">
        <v>631</v>
      </c>
      <c r="G48" s="271">
        <v>15</v>
      </c>
      <c r="H48" s="271" t="s">
        <v>631</v>
      </c>
      <c r="I48" s="271">
        <v>9</v>
      </c>
      <c r="J48" s="271" t="s">
        <v>631</v>
      </c>
      <c r="K48" s="271">
        <v>67</v>
      </c>
      <c r="L48" s="271" t="s">
        <v>631</v>
      </c>
      <c r="M48" s="271" t="s">
        <v>630</v>
      </c>
      <c r="N48" s="271" t="s">
        <v>631</v>
      </c>
      <c r="O48" s="271">
        <v>3</v>
      </c>
      <c r="P48" s="271" t="s">
        <v>631</v>
      </c>
      <c r="Q48" s="271" t="s">
        <v>630</v>
      </c>
      <c r="R48" s="271" t="s">
        <v>631</v>
      </c>
      <c r="S48" s="271" t="s">
        <v>630</v>
      </c>
      <c r="T48" s="271" t="s">
        <v>631</v>
      </c>
      <c r="U48" s="271">
        <v>121</v>
      </c>
      <c r="V48" s="271" t="s">
        <v>631</v>
      </c>
      <c r="W48" s="271">
        <v>79</v>
      </c>
      <c r="X48" s="271" t="s">
        <v>631</v>
      </c>
      <c r="Y48" s="271" t="s">
        <v>630</v>
      </c>
      <c r="Z48" s="271" t="s">
        <v>631</v>
      </c>
      <c r="AA48" s="271">
        <v>29</v>
      </c>
      <c r="AB48" s="271" t="s">
        <v>631</v>
      </c>
      <c r="AC48" s="263"/>
      <c r="AD48" s="263"/>
    </row>
    <row r="49" spans="1:30" x14ac:dyDescent="0.2">
      <c r="A49" s="263"/>
      <c r="B49" s="270" t="s">
        <v>665</v>
      </c>
      <c r="C49" s="271">
        <v>4685</v>
      </c>
      <c r="D49" s="271">
        <v>23</v>
      </c>
      <c r="E49" s="271">
        <v>1</v>
      </c>
      <c r="F49" s="271" t="s">
        <v>631</v>
      </c>
      <c r="G49" s="271">
        <v>21</v>
      </c>
      <c r="H49" s="271" t="s">
        <v>631</v>
      </c>
      <c r="I49" s="271">
        <v>31</v>
      </c>
      <c r="J49" s="271" t="s">
        <v>631</v>
      </c>
      <c r="K49" s="271">
        <v>125</v>
      </c>
      <c r="L49" s="271" t="s">
        <v>631</v>
      </c>
      <c r="M49" s="271">
        <v>51</v>
      </c>
      <c r="N49" s="271" t="s">
        <v>631</v>
      </c>
      <c r="O49" s="271">
        <v>51</v>
      </c>
      <c r="P49" s="271" t="s">
        <v>631</v>
      </c>
      <c r="Q49" s="271">
        <v>73</v>
      </c>
      <c r="R49" s="271" t="s">
        <v>631</v>
      </c>
      <c r="S49" s="271">
        <v>62</v>
      </c>
      <c r="T49" s="271" t="s">
        <v>631</v>
      </c>
      <c r="U49" s="271" t="s">
        <v>630</v>
      </c>
      <c r="V49" s="271" t="s">
        <v>631</v>
      </c>
      <c r="W49" s="271">
        <v>31</v>
      </c>
      <c r="X49" s="271" t="s">
        <v>631</v>
      </c>
      <c r="Y49" s="271">
        <v>21</v>
      </c>
      <c r="Z49" s="271" t="s">
        <v>631</v>
      </c>
      <c r="AA49" s="271">
        <v>15</v>
      </c>
      <c r="AB49" s="271" t="s">
        <v>631</v>
      </c>
      <c r="AC49" s="263"/>
      <c r="AD49" s="263"/>
    </row>
    <row r="50" spans="1:30" x14ac:dyDescent="0.2">
      <c r="A50" s="263"/>
      <c r="B50" s="270" t="s">
        <v>81</v>
      </c>
      <c r="C50" s="271">
        <v>462</v>
      </c>
      <c r="D50" s="271">
        <v>11</v>
      </c>
      <c r="E50" s="271" t="s">
        <v>630</v>
      </c>
      <c r="F50" s="271" t="s">
        <v>631</v>
      </c>
      <c r="G50" s="271" t="s">
        <v>630</v>
      </c>
      <c r="H50" s="271" t="s">
        <v>631</v>
      </c>
      <c r="I50" s="271" t="s">
        <v>630</v>
      </c>
      <c r="J50" s="271" t="s">
        <v>631</v>
      </c>
      <c r="K50" s="271">
        <v>12</v>
      </c>
      <c r="L50" s="271" t="s">
        <v>631</v>
      </c>
      <c r="M50" s="271" t="s">
        <v>630</v>
      </c>
      <c r="N50" s="271" t="s">
        <v>631</v>
      </c>
      <c r="O50" s="271" t="s">
        <v>630</v>
      </c>
      <c r="P50" s="271" t="s">
        <v>631</v>
      </c>
      <c r="Q50" s="271" t="s">
        <v>630</v>
      </c>
      <c r="R50" s="271" t="s">
        <v>631</v>
      </c>
      <c r="S50" s="271" t="s">
        <v>630</v>
      </c>
      <c r="T50" s="271" t="s">
        <v>631</v>
      </c>
      <c r="U50" s="271">
        <v>102</v>
      </c>
      <c r="V50" s="271" t="s">
        <v>631</v>
      </c>
      <c r="W50" s="271">
        <v>95</v>
      </c>
      <c r="X50" s="271" t="s">
        <v>631</v>
      </c>
      <c r="Y50" s="271" t="s">
        <v>630</v>
      </c>
      <c r="Z50" s="271" t="s">
        <v>631</v>
      </c>
      <c r="AA50" s="271" t="s">
        <v>630</v>
      </c>
      <c r="AB50" s="271" t="s">
        <v>631</v>
      </c>
      <c r="AC50" s="263"/>
      <c r="AD50" s="263"/>
    </row>
    <row r="51" spans="1:30" x14ac:dyDescent="0.2">
      <c r="A51" s="263"/>
      <c r="B51" s="270" t="s">
        <v>666</v>
      </c>
      <c r="C51" s="271">
        <v>1408</v>
      </c>
      <c r="D51" s="271">
        <v>12</v>
      </c>
      <c r="E51" s="271" t="s">
        <v>630</v>
      </c>
      <c r="F51" s="271" t="s">
        <v>631</v>
      </c>
      <c r="G51" s="271">
        <v>20</v>
      </c>
      <c r="H51" s="271" t="s">
        <v>631</v>
      </c>
      <c r="I51" s="271">
        <v>9</v>
      </c>
      <c r="J51" s="271" t="s">
        <v>631</v>
      </c>
      <c r="K51" s="271">
        <v>54</v>
      </c>
      <c r="L51" s="271" t="s">
        <v>631</v>
      </c>
      <c r="M51" s="271" t="s">
        <v>630</v>
      </c>
      <c r="N51" s="271" t="s">
        <v>631</v>
      </c>
      <c r="O51" s="271" t="s">
        <v>630</v>
      </c>
      <c r="P51" s="271" t="s">
        <v>631</v>
      </c>
      <c r="Q51" s="271" t="s">
        <v>630</v>
      </c>
      <c r="R51" s="271" t="s">
        <v>631</v>
      </c>
      <c r="S51" s="271" t="s">
        <v>630</v>
      </c>
      <c r="T51" s="271" t="s">
        <v>631</v>
      </c>
      <c r="U51" s="271">
        <v>100</v>
      </c>
      <c r="V51" s="271" t="s">
        <v>631</v>
      </c>
      <c r="W51" s="271">
        <v>81</v>
      </c>
      <c r="X51" s="271" t="s">
        <v>631</v>
      </c>
      <c r="Y51" s="271" t="s">
        <v>630</v>
      </c>
      <c r="Z51" s="271" t="s">
        <v>631</v>
      </c>
      <c r="AA51" s="271">
        <v>54</v>
      </c>
      <c r="AB51" s="271" t="s">
        <v>631</v>
      </c>
      <c r="AC51" s="263"/>
      <c r="AD51" s="263"/>
    </row>
    <row r="52" spans="1:30" x14ac:dyDescent="0.2">
      <c r="A52" s="263"/>
      <c r="B52" s="270" t="s">
        <v>106</v>
      </c>
      <c r="C52" s="271">
        <v>148</v>
      </c>
      <c r="D52" s="271">
        <v>13</v>
      </c>
      <c r="E52" s="271" t="s">
        <v>630</v>
      </c>
      <c r="F52" s="271" t="s">
        <v>631</v>
      </c>
      <c r="G52" s="271" t="s">
        <v>630</v>
      </c>
      <c r="H52" s="271" t="s">
        <v>631</v>
      </c>
      <c r="I52" s="271" t="s">
        <v>630</v>
      </c>
      <c r="J52" s="271" t="s">
        <v>631</v>
      </c>
      <c r="K52" s="271">
        <v>4</v>
      </c>
      <c r="L52" s="271" t="s">
        <v>631</v>
      </c>
      <c r="M52" s="271" t="s">
        <v>630</v>
      </c>
      <c r="N52" s="271" t="s">
        <v>631</v>
      </c>
      <c r="O52" s="271" t="s">
        <v>630</v>
      </c>
      <c r="P52" s="271" t="s">
        <v>631</v>
      </c>
      <c r="Q52" s="271" t="s">
        <v>630</v>
      </c>
      <c r="R52" s="271" t="s">
        <v>631</v>
      </c>
      <c r="S52" s="271" t="s">
        <v>630</v>
      </c>
      <c r="T52" s="271" t="s">
        <v>631</v>
      </c>
      <c r="U52" s="271">
        <v>99</v>
      </c>
      <c r="V52" s="271" t="s">
        <v>631</v>
      </c>
      <c r="W52" s="271">
        <v>93</v>
      </c>
      <c r="X52" s="271" t="s">
        <v>631</v>
      </c>
      <c r="Y52" s="271" t="s">
        <v>630</v>
      </c>
      <c r="Z52" s="271" t="s">
        <v>631</v>
      </c>
      <c r="AA52" s="271" t="s">
        <v>630</v>
      </c>
      <c r="AB52" s="271" t="s">
        <v>631</v>
      </c>
      <c r="AC52" s="263"/>
      <c r="AD52" s="263"/>
    </row>
    <row r="53" spans="1:30" x14ac:dyDescent="0.2">
      <c r="A53" s="263"/>
      <c r="B53" s="270" t="s">
        <v>107</v>
      </c>
      <c r="C53" s="271">
        <v>969</v>
      </c>
      <c r="D53" s="271">
        <v>9</v>
      </c>
      <c r="E53" s="271" t="s">
        <v>630</v>
      </c>
      <c r="F53" s="271" t="s">
        <v>631</v>
      </c>
      <c r="G53" s="271" t="s">
        <v>630</v>
      </c>
      <c r="H53" s="271" t="s">
        <v>631</v>
      </c>
      <c r="I53" s="271" t="s">
        <v>630</v>
      </c>
      <c r="J53" s="271" t="s">
        <v>631</v>
      </c>
      <c r="K53" s="271">
        <v>11</v>
      </c>
      <c r="L53" s="271" t="s">
        <v>631</v>
      </c>
      <c r="M53" s="271" t="s">
        <v>630</v>
      </c>
      <c r="N53" s="271" t="s">
        <v>631</v>
      </c>
      <c r="O53" s="271" t="s">
        <v>630</v>
      </c>
      <c r="P53" s="271" t="s">
        <v>631</v>
      </c>
      <c r="Q53" s="271" t="s">
        <v>630</v>
      </c>
      <c r="R53" s="271" t="s">
        <v>631</v>
      </c>
      <c r="S53" s="271" t="s">
        <v>630</v>
      </c>
      <c r="T53" s="271" t="s">
        <v>631</v>
      </c>
      <c r="U53" s="271">
        <v>104</v>
      </c>
      <c r="V53" s="271" t="s">
        <v>631</v>
      </c>
      <c r="W53" s="271">
        <v>90</v>
      </c>
      <c r="X53" s="271" t="s">
        <v>631</v>
      </c>
      <c r="Y53" s="271" t="s">
        <v>630</v>
      </c>
      <c r="Z53" s="271" t="s">
        <v>631</v>
      </c>
      <c r="AA53" s="271" t="s">
        <v>630</v>
      </c>
      <c r="AB53" s="271" t="s">
        <v>631</v>
      </c>
      <c r="AC53" s="263"/>
      <c r="AD53" s="263"/>
    </row>
    <row r="54" spans="1:30" x14ac:dyDescent="0.2">
      <c r="A54" s="263"/>
      <c r="B54" s="270" t="s">
        <v>667</v>
      </c>
      <c r="C54" s="271">
        <v>3905</v>
      </c>
      <c r="D54" s="271">
        <v>16</v>
      </c>
      <c r="E54" s="271" t="s">
        <v>630</v>
      </c>
      <c r="F54" s="271" t="s">
        <v>631</v>
      </c>
      <c r="G54" s="271" t="s">
        <v>630</v>
      </c>
      <c r="H54" s="271" t="s">
        <v>631</v>
      </c>
      <c r="I54" s="271" t="s">
        <v>630</v>
      </c>
      <c r="J54" s="271" t="s">
        <v>631</v>
      </c>
      <c r="K54" s="271">
        <v>1</v>
      </c>
      <c r="L54" s="271" t="s">
        <v>631</v>
      </c>
      <c r="M54" s="271" t="s">
        <v>630</v>
      </c>
      <c r="N54" s="271" t="s">
        <v>631</v>
      </c>
      <c r="O54" s="271" t="s">
        <v>630</v>
      </c>
      <c r="P54" s="271" t="s">
        <v>631</v>
      </c>
      <c r="Q54" s="271" t="s">
        <v>630</v>
      </c>
      <c r="R54" s="271" t="s">
        <v>631</v>
      </c>
      <c r="S54" s="271" t="s">
        <v>630</v>
      </c>
      <c r="T54" s="271" t="s">
        <v>631</v>
      </c>
      <c r="U54" s="271" t="s">
        <v>630</v>
      </c>
      <c r="V54" s="271" t="s">
        <v>631</v>
      </c>
      <c r="W54" s="271" t="s">
        <v>630</v>
      </c>
      <c r="X54" s="271" t="s">
        <v>631</v>
      </c>
      <c r="Y54" s="271" t="s">
        <v>630</v>
      </c>
      <c r="Z54" s="271" t="s">
        <v>631</v>
      </c>
      <c r="AA54" s="271">
        <v>7</v>
      </c>
      <c r="AB54" s="271" t="s">
        <v>631</v>
      </c>
      <c r="AC54" s="263"/>
      <c r="AD54" s="263"/>
    </row>
    <row r="55" spans="1:30" x14ac:dyDescent="0.2">
      <c r="A55" s="263"/>
      <c r="B55" s="270" t="s">
        <v>668</v>
      </c>
      <c r="C55" s="271">
        <v>15819</v>
      </c>
      <c r="D55" s="271">
        <v>23</v>
      </c>
      <c r="E55" s="271" t="s">
        <v>630</v>
      </c>
      <c r="F55" s="271" t="s">
        <v>631</v>
      </c>
      <c r="G55" s="271">
        <v>25</v>
      </c>
      <c r="H55" s="271" t="s">
        <v>631</v>
      </c>
      <c r="I55" s="271">
        <v>25</v>
      </c>
      <c r="J55" s="271" t="s">
        <v>631</v>
      </c>
      <c r="K55" s="271">
        <v>135</v>
      </c>
      <c r="L55" s="271" t="s">
        <v>631</v>
      </c>
      <c r="M55" s="271" t="s">
        <v>630</v>
      </c>
      <c r="N55" s="271" t="s">
        <v>631</v>
      </c>
      <c r="O55" s="271">
        <v>72</v>
      </c>
      <c r="P55" s="271" t="s">
        <v>631</v>
      </c>
      <c r="Q55" s="271">
        <v>55</v>
      </c>
      <c r="R55" s="271" t="s">
        <v>631</v>
      </c>
      <c r="S55" s="271">
        <v>43</v>
      </c>
      <c r="T55" s="271" t="s">
        <v>631</v>
      </c>
      <c r="U55" s="271">
        <v>55</v>
      </c>
      <c r="V55" s="271" t="s">
        <v>631</v>
      </c>
      <c r="W55" s="271">
        <v>37</v>
      </c>
      <c r="X55" s="271" t="s">
        <v>631</v>
      </c>
      <c r="Y55" s="271" t="s">
        <v>630</v>
      </c>
      <c r="Z55" s="271" t="s">
        <v>631</v>
      </c>
      <c r="AA55" s="271">
        <v>13</v>
      </c>
      <c r="AB55" s="271" t="s">
        <v>631</v>
      </c>
      <c r="AC55" s="263"/>
      <c r="AD55" s="263"/>
    </row>
    <row r="56" spans="1:30" x14ac:dyDescent="0.2">
      <c r="A56" s="263"/>
      <c r="B56" s="270" t="s">
        <v>108</v>
      </c>
      <c r="C56" s="271">
        <v>693</v>
      </c>
      <c r="D56" s="271">
        <v>12</v>
      </c>
      <c r="E56" s="271" t="s">
        <v>630</v>
      </c>
      <c r="F56" s="271" t="s">
        <v>631</v>
      </c>
      <c r="G56" s="271" t="s">
        <v>630</v>
      </c>
      <c r="H56" s="271" t="s">
        <v>631</v>
      </c>
      <c r="I56" s="271" t="s">
        <v>630</v>
      </c>
      <c r="J56" s="271" t="s">
        <v>631</v>
      </c>
      <c r="K56" s="271">
        <v>5</v>
      </c>
      <c r="L56" s="271" t="s">
        <v>631</v>
      </c>
      <c r="M56" s="271" t="s">
        <v>630</v>
      </c>
      <c r="N56" s="271" t="s">
        <v>631</v>
      </c>
      <c r="O56" s="271" t="s">
        <v>630</v>
      </c>
      <c r="P56" s="271" t="s">
        <v>631</v>
      </c>
      <c r="Q56" s="271" t="s">
        <v>630</v>
      </c>
      <c r="R56" s="271" t="s">
        <v>631</v>
      </c>
      <c r="S56" s="271" t="s">
        <v>630</v>
      </c>
      <c r="T56" s="271" t="s">
        <v>631</v>
      </c>
      <c r="U56" s="271">
        <v>118</v>
      </c>
      <c r="V56" s="271" t="s">
        <v>631</v>
      </c>
      <c r="W56" s="271">
        <v>131</v>
      </c>
      <c r="X56" s="271" t="s">
        <v>631</v>
      </c>
      <c r="Y56" s="271" t="s">
        <v>630</v>
      </c>
      <c r="Z56" s="271" t="s">
        <v>631</v>
      </c>
      <c r="AA56" s="271" t="s">
        <v>630</v>
      </c>
      <c r="AB56" s="271" t="s">
        <v>631</v>
      </c>
      <c r="AC56" s="263"/>
      <c r="AD56" s="263"/>
    </row>
    <row r="57" spans="1:30" x14ac:dyDescent="0.2">
      <c r="A57" s="263"/>
      <c r="B57" s="270" t="s">
        <v>669</v>
      </c>
      <c r="C57" s="271">
        <v>178</v>
      </c>
      <c r="D57" s="271">
        <v>20</v>
      </c>
      <c r="E57" s="271" t="s">
        <v>630</v>
      </c>
      <c r="F57" s="271" t="s">
        <v>631</v>
      </c>
      <c r="G57" s="271">
        <v>3</v>
      </c>
      <c r="H57" s="271" t="s">
        <v>631</v>
      </c>
      <c r="I57" s="271" t="s">
        <v>630</v>
      </c>
      <c r="J57" s="271" t="s">
        <v>631</v>
      </c>
      <c r="K57" s="271">
        <v>21</v>
      </c>
      <c r="L57" s="271" t="s">
        <v>631</v>
      </c>
      <c r="M57" s="271" t="s">
        <v>630</v>
      </c>
      <c r="N57" s="271" t="s">
        <v>631</v>
      </c>
      <c r="O57" s="271" t="s">
        <v>630</v>
      </c>
      <c r="P57" s="271" t="s">
        <v>631</v>
      </c>
      <c r="Q57" s="271" t="s">
        <v>630</v>
      </c>
      <c r="R57" s="271" t="s">
        <v>631</v>
      </c>
      <c r="S57" s="271" t="s">
        <v>630</v>
      </c>
      <c r="T57" s="271" t="s">
        <v>631</v>
      </c>
      <c r="U57" s="271">
        <v>51</v>
      </c>
      <c r="V57" s="271" t="s">
        <v>631</v>
      </c>
      <c r="W57" s="271">
        <v>35</v>
      </c>
      <c r="X57" s="271" t="s">
        <v>631</v>
      </c>
      <c r="Y57" s="271" t="s">
        <v>630</v>
      </c>
      <c r="Z57" s="271" t="s">
        <v>631</v>
      </c>
      <c r="AA57" s="271">
        <v>16</v>
      </c>
      <c r="AB57" s="271" t="s">
        <v>632</v>
      </c>
      <c r="AC57" s="263"/>
      <c r="AD57" s="263"/>
    </row>
    <row r="58" spans="1:30" x14ac:dyDescent="0.2">
      <c r="A58" s="263"/>
      <c r="B58" s="270" t="s">
        <v>670</v>
      </c>
      <c r="C58" s="271" t="s">
        <v>630</v>
      </c>
      <c r="D58" s="271" t="s">
        <v>630</v>
      </c>
      <c r="E58" s="271" t="s">
        <v>630</v>
      </c>
      <c r="F58" s="271" t="s">
        <v>631</v>
      </c>
      <c r="G58" s="271" t="s">
        <v>630</v>
      </c>
      <c r="H58" s="271" t="s">
        <v>631</v>
      </c>
      <c r="I58" s="271" t="s">
        <v>630</v>
      </c>
      <c r="J58" s="271" t="s">
        <v>631</v>
      </c>
      <c r="K58" s="271">
        <v>47</v>
      </c>
      <c r="L58" s="271" t="s">
        <v>632</v>
      </c>
      <c r="M58" s="271" t="s">
        <v>630</v>
      </c>
      <c r="N58" s="271" t="s">
        <v>631</v>
      </c>
      <c r="O58" s="271" t="s">
        <v>630</v>
      </c>
      <c r="P58" s="271" t="s">
        <v>631</v>
      </c>
      <c r="Q58" s="271" t="s">
        <v>630</v>
      </c>
      <c r="R58" s="271" t="s">
        <v>631</v>
      </c>
      <c r="S58" s="271" t="s">
        <v>630</v>
      </c>
      <c r="T58" s="271" t="s">
        <v>631</v>
      </c>
      <c r="U58" s="271">
        <v>106</v>
      </c>
      <c r="V58" s="271" t="s">
        <v>631</v>
      </c>
      <c r="W58" s="271">
        <v>91</v>
      </c>
      <c r="X58" s="271" t="s">
        <v>631</v>
      </c>
      <c r="Y58" s="271">
        <v>39</v>
      </c>
      <c r="Z58" s="271" t="s">
        <v>631</v>
      </c>
      <c r="AA58" s="271">
        <v>49</v>
      </c>
      <c r="AB58" s="271" t="s">
        <v>631</v>
      </c>
      <c r="AC58" s="263"/>
      <c r="AD58" s="263"/>
    </row>
    <row r="59" spans="1:30" x14ac:dyDescent="0.2">
      <c r="A59" s="263"/>
      <c r="B59" s="270" t="s">
        <v>671</v>
      </c>
      <c r="C59" s="271">
        <v>2000</v>
      </c>
      <c r="D59" s="271">
        <v>19</v>
      </c>
      <c r="E59" s="271" t="s">
        <v>630</v>
      </c>
      <c r="F59" s="271" t="s">
        <v>631</v>
      </c>
      <c r="G59" s="271">
        <v>17</v>
      </c>
      <c r="H59" s="271" t="s">
        <v>631</v>
      </c>
      <c r="I59" s="271">
        <v>25</v>
      </c>
      <c r="J59" s="271" t="s">
        <v>632</v>
      </c>
      <c r="K59" s="271">
        <v>96</v>
      </c>
      <c r="L59" s="271" t="s">
        <v>632</v>
      </c>
      <c r="M59" s="271" t="s">
        <v>630</v>
      </c>
      <c r="N59" s="271" t="s">
        <v>631</v>
      </c>
      <c r="O59" s="271">
        <v>7</v>
      </c>
      <c r="P59" s="271" t="s">
        <v>631</v>
      </c>
      <c r="Q59" s="271">
        <v>98</v>
      </c>
      <c r="R59" s="271" t="s">
        <v>631</v>
      </c>
      <c r="S59" s="271">
        <v>98</v>
      </c>
      <c r="T59" s="271" t="s">
        <v>631</v>
      </c>
      <c r="U59" s="271">
        <v>84</v>
      </c>
      <c r="V59" s="271" t="s">
        <v>631</v>
      </c>
      <c r="W59" s="271">
        <v>72</v>
      </c>
      <c r="X59" s="271" t="s">
        <v>631</v>
      </c>
      <c r="Y59" s="271">
        <v>33</v>
      </c>
      <c r="Z59" s="271" t="s">
        <v>632</v>
      </c>
      <c r="AA59" s="271">
        <v>39</v>
      </c>
      <c r="AB59" s="271" t="s">
        <v>632</v>
      </c>
      <c r="AC59" s="263"/>
      <c r="AD59" s="263"/>
    </row>
    <row r="60" spans="1:30" x14ac:dyDescent="0.2">
      <c r="A60" s="263"/>
      <c r="B60" s="270" t="s">
        <v>672</v>
      </c>
      <c r="C60" s="271">
        <v>2992</v>
      </c>
      <c r="D60" s="271">
        <v>19</v>
      </c>
      <c r="E60" s="271" t="s">
        <v>630</v>
      </c>
      <c r="F60" s="271" t="s">
        <v>631</v>
      </c>
      <c r="G60" s="271">
        <v>16</v>
      </c>
      <c r="H60" s="271" t="s">
        <v>632</v>
      </c>
      <c r="I60" s="271" t="s">
        <v>630</v>
      </c>
      <c r="J60" s="271" t="s">
        <v>631</v>
      </c>
      <c r="K60" s="271">
        <v>100</v>
      </c>
      <c r="L60" s="271" t="s">
        <v>632</v>
      </c>
      <c r="M60" s="271" t="s">
        <v>630</v>
      </c>
      <c r="N60" s="271" t="s">
        <v>631</v>
      </c>
      <c r="O60" s="271" t="s">
        <v>630</v>
      </c>
      <c r="P60" s="271" t="s">
        <v>631</v>
      </c>
      <c r="Q60" s="271" t="s">
        <v>630</v>
      </c>
      <c r="R60" s="271" t="s">
        <v>631</v>
      </c>
      <c r="S60" s="271" t="s">
        <v>630</v>
      </c>
      <c r="T60" s="271" t="s">
        <v>631</v>
      </c>
      <c r="U60" s="271">
        <v>96</v>
      </c>
      <c r="V60" s="271" t="s">
        <v>631</v>
      </c>
      <c r="W60" s="271">
        <v>77</v>
      </c>
      <c r="X60" s="271" t="s">
        <v>631</v>
      </c>
      <c r="Y60" s="271" t="s">
        <v>630</v>
      </c>
      <c r="Z60" s="271" t="s">
        <v>631</v>
      </c>
      <c r="AA60" s="271" t="s">
        <v>630</v>
      </c>
      <c r="AB60" s="271" t="s">
        <v>631</v>
      </c>
      <c r="AC60" s="263"/>
      <c r="AD60" s="263"/>
    </row>
    <row r="61" spans="1:30" x14ac:dyDescent="0.2">
      <c r="A61" s="263"/>
      <c r="B61" s="270" t="s">
        <v>673</v>
      </c>
      <c r="C61" s="271">
        <v>15338</v>
      </c>
      <c r="D61" s="271">
        <v>19</v>
      </c>
      <c r="E61" s="271" t="s">
        <v>630</v>
      </c>
      <c r="F61" s="271" t="s">
        <v>631</v>
      </c>
      <c r="G61" s="271">
        <v>13</v>
      </c>
      <c r="H61" s="271" t="s">
        <v>631</v>
      </c>
      <c r="I61" s="271">
        <v>7</v>
      </c>
      <c r="J61" s="271" t="s">
        <v>632</v>
      </c>
      <c r="K61" s="271">
        <v>50</v>
      </c>
      <c r="L61" s="271" t="s">
        <v>632</v>
      </c>
      <c r="M61" s="271" t="s">
        <v>630</v>
      </c>
      <c r="N61" s="271" t="s">
        <v>631</v>
      </c>
      <c r="O61" s="271">
        <v>50</v>
      </c>
      <c r="P61" s="271" t="s">
        <v>641</v>
      </c>
      <c r="Q61" s="271" t="s">
        <v>630</v>
      </c>
      <c r="R61" s="271" t="s">
        <v>631</v>
      </c>
      <c r="S61" s="271">
        <v>97</v>
      </c>
      <c r="T61" s="271" t="s">
        <v>641</v>
      </c>
      <c r="U61" s="271">
        <v>101</v>
      </c>
      <c r="V61" s="271" t="s">
        <v>631</v>
      </c>
      <c r="W61" s="271">
        <v>71</v>
      </c>
      <c r="X61" s="271" t="s">
        <v>631</v>
      </c>
      <c r="Y61" s="271">
        <v>16</v>
      </c>
      <c r="Z61" s="271" t="s">
        <v>632</v>
      </c>
      <c r="AA61" s="271">
        <v>3</v>
      </c>
      <c r="AB61" s="271" t="s">
        <v>632</v>
      </c>
      <c r="AC61" s="263"/>
      <c r="AD61" s="263"/>
    </row>
    <row r="62" spans="1:30" x14ac:dyDescent="0.2">
      <c r="A62" s="263"/>
      <c r="B62" s="270" t="s">
        <v>674</v>
      </c>
      <c r="C62" s="271">
        <v>1396</v>
      </c>
      <c r="D62" s="271">
        <v>22</v>
      </c>
      <c r="E62" s="271" t="s">
        <v>630</v>
      </c>
      <c r="F62" s="271" t="s">
        <v>631</v>
      </c>
      <c r="G62" s="271">
        <v>21</v>
      </c>
      <c r="H62" s="271" t="s">
        <v>631</v>
      </c>
      <c r="I62" s="271" t="s">
        <v>630</v>
      </c>
      <c r="J62" s="271" t="s">
        <v>631</v>
      </c>
      <c r="K62" s="271">
        <v>63</v>
      </c>
      <c r="L62" s="271" t="s">
        <v>631</v>
      </c>
      <c r="M62" s="271" t="s">
        <v>630</v>
      </c>
      <c r="N62" s="271" t="s">
        <v>631</v>
      </c>
      <c r="O62" s="271" t="s">
        <v>630</v>
      </c>
      <c r="P62" s="271" t="s">
        <v>631</v>
      </c>
      <c r="Q62" s="271" t="s">
        <v>630</v>
      </c>
      <c r="R62" s="271" t="s">
        <v>631</v>
      </c>
      <c r="S62" s="271" t="s">
        <v>630</v>
      </c>
      <c r="T62" s="271" t="s">
        <v>631</v>
      </c>
      <c r="U62" s="271">
        <v>90</v>
      </c>
      <c r="V62" s="271" t="s">
        <v>631</v>
      </c>
      <c r="W62" s="271">
        <v>48</v>
      </c>
      <c r="X62" s="271" t="s">
        <v>631</v>
      </c>
      <c r="Y62" s="271" t="s">
        <v>630</v>
      </c>
      <c r="Z62" s="271" t="s">
        <v>631</v>
      </c>
      <c r="AA62" s="271" t="s">
        <v>630</v>
      </c>
      <c r="AB62" s="271" t="s">
        <v>631</v>
      </c>
      <c r="AC62" s="263"/>
      <c r="AD62" s="263"/>
    </row>
    <row r="63" spans="1:30" x14ac:dyDescent="0.2">
      <c r="A63" s="263"/>
      <c r="B63" s="270" t="s">
        <v>675</v>
      </c>
      <c r="C63" s="271">
        <v>159</v>
      </c>
      <c r="D63" s="271">
        <v>21</v>
      </c>
      <c r="E63" s="271">
        <v>5</v>
      </c>
      <c r="F63" s="271" t="s">
        <v>631</v>
      </c>
      <c r="G63" s="271">
        <v>22</v>
      </c>
      <c r="H63" s="271" t="s">
        <v>631</v>
      </c>
      <c r="I63" s="271">
        <v>42</v>
      </c>
      <c r="J63" s="271" t="s">
        <v>631</v>
      </c>
      <c r="K63" s="271">
        <v>128</v>
      </c>
      <c r="L63" s="271" t="s">
        <v>632</v>
      </c>
      <c r="M63" s="271">
        <v>56</v>
      </c>
      <c r="N63" s="271" t="s">
        <v>631</v>
      </c>
      <c r="O63" s="271">
        <v>57</v>
      </c>
      <c r="P63" s="271" t="s">
        <v>631</v>
      </c>
      <c r="Q63" s="271">
        <v>91</v>
      </c>
      <c r="R63" s="271" t="s">
        <v>631</v>
      </c>
      <c r="S63" s="271">
        <v>91</v>
      </c>
      <c r="T63" s="271" t="s">
        <v>631</v>
      </c>
      <c r="U63" s="271" t="s">
        <v>630</v>
      </c>
      <c r="V63" s="271" t="s">
        <v>631</v>
      </c>
      <c r="W63" s="271" t="s">
        <v>630</v>
      </c>
      <c r="X63" s="271" t="s">
        <v>631</v>
      </c>
      <c r="Y63" s="271">
        <v>12</v>
      </c>
      <c r="Z63" s="271" t="s">
        <v>631</v>
      </c>
      <c r="AA63" s="271">
        <v>17</v>
      </c>
      <c r="AB63" s="271" t="s">
        <v>631</v>
      </c>
      <c r="AC63" s="263"/>
      <c r="AD63" s="263"/>
    </row>
    <row r="64" spans="1:30" x14ac:dyDescent="0.2">
      <c r="A64" s="263"/>
      <c r="B64" s="270" t="s">
        <v>676</v>
      </c>
      <c r="C64" s="271">
        <v>1386</v>
      </c>
      <c r="D64" s="271">
        <v>22</v>
      </c>
      <c r="E64" s="271">
        <v>1</v>
      </c>
      <c r="F64" s="271" t="s">
        <v>631</v>
      </c>
      <c r="G64" s="271">
        <v>17</v>
      </c>
      <c r="H64" s="271" t="s">
        <v>631</v>
      </c>
      <c r="I64" s="271">
        <v>19</v>
      </c>
      <c r="J64" s="271" t="s">
        <v>631</v>
      </c>
      <c r="K64" s="271">
        <v>85</v>
      </c>
      <c r="L64" s="271" t="s">
        <v>632</v>
      </c>
      <c r="M64" s="271">
        <v>60</v>
      </c>
      <c r="N64" s="271" t="s">
        <v>631</v>
      </c>
      <c r="O64" s="271">
        <v>51</v>
      </c>
      <c r="P64" s="271" t="s">
        <v>631</v>
      </c>
      <c r="Q64" s="271">
        <v>70</v>
      </c>
      <c r="R64" s="271" t="s">
        <v>631</v>
      </c>
      <c r="S64" s="271">
        <v>54</v>
      </c>
      <c r="T64" s="271" t="s">
        <v>631</v>
      </c>
      <c r="U64" s="271">
        <v>43</v>
      </c>
      <c r="V64" s="271" t="s">
        <v>631</v>
      </c>
      <c r="W64" s="271">
        <v>20</v>
      </c>
      <c r="X64" s="271" t="s">
        <v>631</v>
      </c>
      <c r="Y64" s="271">
        <v>32</v>
      </c>
      <c r="Z64" s="271" t="s">
        <v>631</v>
      </c>
      <c r="AA64" s="271">
        <v>22</v>
      </c>
      <c r="AB64" s="271" t="s">
        <v>631</v>
      </c>
      <c r="AC64" s="263"/>
      <c r="AD64" s="263"/>
    </row>
    <row r="65" spans="1:30" x14ac:dyDescent="0.2">
      <c r="A65" s="263"/>
      <c r="B65" s="270" t="s">
        <v>109</v>
      </c>
      <c r="C65" s="271">
        <v>127</v>
      </c>
      <c r="D65" s="271">
        <v>10</v>
      </c>
      <c r="E65" s="271" t="s">
        <v>630</v>
      </c>
      <c r="F65" s="271" t="s">
        <v>631</v>
      </c>
      <c r="G65" s="271" t="s">
        <v>630</v>
      </c>
      <c r="H65" s="271" t="s">
        <v>631</v>
      </c>
      <c r="I65" s="271" t="s">
        <v>630</v>
      </c>
      <c r="J65" s="271" t="s">
        <v>631</v>
      </c>
      <c r="K65" s="271">
        <v>16</v>
      </c>
      <c r="L65" s="271" t="s">
        <v>631</v>
      </c>
      <c r="M65" s="271" t="s">
        <v>630</v>
      </c>
      <c r="N65" s="271" t="s">
        <v>631</v>
      </c>
      <c r="O65" s="271" t="s">
        <v>630</v>
      </c>
      <c r="P65" s="271" t="s">
        <v>631</v>
      </c>
      <c r="Q65" s="271" t="s">
        <v>630</v>
      </c>
      <c r="R65" s="271" t="s">
        <v>631</v>
      </c>
      <c r="S65" s="271" t="s">
        <v>630</v>
      </c>
      <c r="T65" s="271" t="s">
        <v>631</v>
      </c>
      <c r="U65" s="271">
        <v>101</v>
      </c>
      <c r="V65" s="271" t="s">
        <v>631</v>
      </c>
      <c r="W65" s="271">
        <v>113</v>
      </c>
      <c r="X65" s="271" t="s">
        <v>631</v>
      </c>
      <c r="Y65" s="271" t="s">
        <v>630</v>
      </c>
      <c r="Z65" s="271" t="s">
        <v>631</v>
      </c>
      <c r="AA65" s="271" t="s">
        <v>630</v>
      </c>
      <c r="AB65" s="271" t="s">
        <v>631</v>
      </c>
      <c r="AC65" s="263"/>
      <c r="AD65" s="263"/>
    </row>
    <row r="66" spans="1:30" x14ac:dyDescent="0.2">
      <c r="A66" s="263"/>
      <c r="B66" s="270" t="s">
        <v>677</v>
      </c>
      <c r="C66" s="271">
        <v>23581</v>
      </c>
      <c r="D66" s="271">
        <v>25</v>
      </c>
      <c r="E66" s="271">
        <v>2</v>
      </c>
      <c r="F66" s="271" t="s">
        <v>631</v>
      </c>
      <c r="G66" s="271">
        <v>19</v>
      </c>
      <c r="H66" s="271" t="s">
        <v>631</v>
      </c>
      <c r="I66" s="271">
        <v>22</v>
      </c>
      <c r="J66" s="271" t="s">
        <v>631</v>
      </c>
      <c r="K66" s="271">
        <v>87</v>
      </c>
      <c r="L66" s="271" t="s">
        <v>631</v>
      </c>
      <c r="M66" s="271">
        <v>51</v>
      </c>
      <c r="N66" s="271" t="s">
        <v>631</v>
      </c>
      <c r="O66" s="271">
        <v>64</v>
      </c>
      <c r="P66" s="271" t="s">
        <v>631</v>
      </c>
      <c r="Q66" s="271">
        <v>42</v>
      </c>
      <c r="R66" s="271" t="s">
        <v>631</v>
      </c>
      <c r="S66" s="271">
        <v>38</v>
      </c>
      <c r="T66" s="271" t="s">
        <v>631</v>
      </c>
      <c r="U66" s="271" t="s">
        <v>630</v>
      </c>
      <c r="V66" s="271" t="s">
        <v>631</v>
      </c>
      <c r="W66" s="271" t="s">
        <v>630</v>
      </c>
      <c r="X66" s="271" t="s">
        <v>631</v>
      </c>
      <c r="Y66" s="271">
        <v>32</v>
      </c>
      <c r="Z66" s="271" t="s">
        <v>631</v>
      </c>
      <c r="AA66" s="271">
        <v>24</v>
      </c>
      <c r="AB66" s="271" t="s">
        <v>631</v>
      </c>
      <c r="AC66" s="263"/>
      <c r="AD66" s="263"/>
    </row>
    <row r="67" spans="1:30" x14ac:dyDescent="0.2">
      <c r="A67" s="263"/>
      <c r="B67" s="270" t="s">
        <v>678</v>
      </c>
      <c r="C67" s="271">
        <v>157</v>
      </c>
      <c r="D67" s="271">
        <v>18</v>
      </c>
      <c r="E67" s="271" t="s">
        <v>630</v>
      </c>
      <c r="F67" s="271" t="s">
        <v>631</v>
      </c>
      <c r="G67" s="271" t="s">
        <v>630</v>
      </c>
      <c r="H67" s="271" t="s">
        <v>631</v>
      </c>
      <c r="I67" s="271" t="s">
        <v>630</v>
      </c>
      <c r="J67" s="271" t="s">
        <v>631</v>
      </c>
      <c r="K67" s="271">
        <v>31</v>
      </c>
      <c r="L67" s="271" t="s">
        <v>632</v>
      </c>
      <c r="M67" s="271" t="s">
        <v>630</v>
      </c>
      <c r="N67" s="271" t="s">
        <v>631</v>
      </c>
      <c r="O67" s="271" t="s">
        <v>630</v>
      </c>
      <c r="P67" s="271" t="s">
        <v>631</v>
      </c>
      <c r="Q67" s="271" t="s">
        <v>630</v>
      </c>
      <c r="R67" s="271" t="s">
        <v>631</v>
      </c>
      <c r="S67" s="271" t="s">
        <v>630</v>
      </c>
      <c r="T67" s="271" t="s">
        <v>631</v>
      </c>
      <c r="U67" s="271">
        <v>98</v>
      </c>
      <c r="V67" s="271" t="s">
        <v>631</v>
      </c>
      <c r="W67" s="271">
        <v>76</v>
      </c>
      <c r="X67" s="271" t="s">
        <v>631</v>
      </c>
      <c r="Y67" s="271" t="s">
        <v>630</v>
      </c>
      <c r="Z67" s="271" t="s">
        <v>631</v>
      </c>
      <c r="AA67" s="271" t="s">
        <v>630</v>
      </c>
      <c r="AB67" s="271" t="s">
        <v>631</v>
      </c>
      <c r="AC67" s="263"/>
      <c r="AD67" s="263"/>
    </row>
    <row r="68" spans="1:30" x14ac:dyDescent="0.2">
      <c r="A68" s="263"/>
      <c r="B68" s="270" t="s">
        <v>110</v>
      </c>
      <c r="C68" s="271">
        <v>610</v>
      </c>
      <c r="D68" s="271">
        <v>11</v>
      </c>
      <c r="E68" s="271" t="s">
        <v>630</v>
      </c>
      <c r="F68" s="271" t="s">
        <v>631</v>
      </c>
      <c r="G68" s="271" t="s">
        <v>630</v>
      </c>
      <c r="H68" s="271" t="s">
        <v>631</v>
      </c>
      <c r="I68" s="271" t="s">
        <v>630</v>
      </c>
      <c r="J68" s="271" t="s">
        <v>631</v>
      </c>
      <c r="K68" s="271">
        <v>8</v>
      </c>
      <c r="L68" s="271" t="s">
        <v>631</v>
      </c>
      <c r="M68" s="271" t="s">
        <v>630</v>
      </c>
      <c r="N68" s="271" t="s">
        <v>631</v>
      </c>
      <c r="O68" s="271" t="s">
        <v>630</v>
      </c>
      <c r="P68" s="271" t="s">
        <v>631</v>
      </c>
      <c r="Q68" s="271" t="s">
        <v>630</v>
      </c>
      <c r="R68" s="271" t="s">
        <v>631</v>
      </c>
      <c r="S68" s="271" t="s">
        <v>630</v>
      </c>
      <c r="T68" s="271" t="s">
        <v>631</v>
      </c>
      <c r="U68" s="271">
        <v>99</v>
      </c>
      <c r="V68" s="271" t="s">
        <v>631</v>
      </c>
      <c r="W68" s="271">
        <v>116</v>
      </c>
      <c r="X68" s="271" t="s">
        <v>631</v>
      </c>
      <c r="Y68" s="271" t="s">
        <v>630</v>
      </c>
      <c r="Z68" s="271" t="s">
        <v>631</v>
      </c>
      <c r="AA68" s="271" t="s">
        <v>630</v>
      </c>
      <c r="AB68" s="271" t="s">
        <v>631</v>
      </c>
      <c r="AC68" s="263"/>
      <c r="AD68" s="263"/>
    </row>
    <row r="69" spans="1:30" x14ac:dyDescent="0.2">
      <c r="A69" s="263"/>
      <c r="B69" s="270" t="s">
        <v>111</v>
      </c>
      <c r="C69" s="271">
        <v>7785</v>
      </c>
      <c r="D69" s="271">
        <v>12</v>
      </c>
      <c r="E69" s="271" t="s">
        <v>630</v>
      </c>
      <c r="F69" s="271" t="s">
        <v>631</v>
      </c>
      <c r="G69" s="271" t="s">
        <v>630</v>
      </c>
      <c r="H69" s="271" t="s">
        <v>631</v>
      </c>
      <c r="I69" s="271" t="s">
        <v>630</v>
      </c>
      <c r="J69" s="271" t="s">
        <v>631</v>
      </c>
      <c r="K69" s="271">
        <v>9</v>
      </c>
      <c r="L69" s="271" t="s">
        <v>631</v>
      </c>
      <c r="M69" s="271" t="s">
        <v>630</v>
      </c>
      <c r="N69" s="271" t="s">
        <v>631</v>
      </c>
      <c r="O69" s="271" t="s">
        <v>630</v>
      </c>
      <c r="P69" s="271" t="s">
        <v>631</v>
      </c>
      <c r="Q69" s="271" t="s">
        <v>630</v>
      </c>
      <c r="R69" s="271" t="s">
        <v>631</v>
      </c>
      <c r="S69" s="271" t="s">
        <v>630</v>
      </c>
      <c r="T69" s="271" t="s">
        <v>631</v>
      </c>
      <c r="U69" s="271">
        <v>107</v>
      </c>
      <c r="V69" s="271" t="s">
        <v>631</v>
      </c>
      <c r="W69" s="271">
        <v>113</v>
      </c>
      <c r="X69" s="271" t="s">
        <v>631</v>
      </c>
      <c r="Y69" s="271" t="s">
        <v>630</v>
      </c>
      <c r="Z69" s="271" t="s">
        <v>631</v>
      </c>
      <c r="AA69" s="271" t="s">
        <v>630</v>
      </c>
      <c r="AB69" s="271" t="s">
        <v>631</v>
      </c>
      <c r="AC69" s="263"/>
      <c r="AD69" s="263"/>
    </row>
    <row r="70" spans="1:30" x14ac:dyDescent="0.2">
      <c r="A70" s="263"/>
      <c r="B70" s="270" t="s">
        <v>679</v>
      </c>
      <c r="C70" s="271">
        <v>358</v>
      </c>
      <c r="D70" s="271">
        <v>21</v>
      </c>
      <c r="E70" s="271">
        <v>1</v>
      </c>
      <c r="F70" s="271" t="s">
        <v>631</v>
      </c>
      <c r="G70" s="271">
        <v>14</v>
      </c>
      <c r="H70" s="271" t="s">
        <v>631</v>
      </c>
      <c r="I70" s="271">
        <v>28</v>
      </c>
      <c r="J70" s="271" t="s">
        <v>631</v>
      </c>
      <c r="K70" s="271">
        <v>115</v>
      </c>
      <c r="L70" s="271" t="s">
        <v>631</v>
      </c>
      <c r="M70" s="271">
        <v>47</v>
      </c>
      <c r="N70" s="271" t="s">
        <v>631</v>
      </c>
      <c r="O70" s="271">
        <v>58</v>
      </c>
      <c r="P70" s="271" t="s">
        <v>631</v>
      </c>
      <c r="Q70" s="271">
        <v>95</v>
      </c>
      <c r="R70" s="271" t="s">
        <v>631</v>
      </c>
      <c r="S70" s="271">
        <v>94</v>
      </c>
      <c r="T70" s="271" t="s">
        <v>631</v>
      </c>
      <c r="U70" s="271" t="s">
        <v>630</v>
      </c>
      <c r="V70" s="271" t="s">
        <v>631</v>
      </c>
      <c r="W70" s="271" t="s">
        <v>630</v>
      </c>
      <c r="X70" s="271" t="s">
        <v>631</v>
      </c>
      <c r="Y70" s="271">
        <v>35</v>
      </c>
      <c r="Z70" s="271" t="s">
        <v>631</v>
      </c>
      <c r="AA70" s="271">
        <v>29</v>
      </c>
      <c r="AB70" s="271" t="s">
        <v>631</v>
      </c>
      <c r="AC70" s="263"/>
      <c r="AD70" s="263"/>
    </row>
    <row r="71" spans="1:30" x14ac:dyDescent="0.2">
      <c r="A71" s="263"/>
      <c r="B71" s="270" t="s">
        <v>680</v>
      </c>
      <c r="C71" s="271">
        <v>430</v>
      </c>
      <c r="D71" s="271">
        <v>23</v>
      </c>
      <c r="E71" s="271" t="s">
        <v>630</v>
      </c>
      <c r="F71" s="271" t="s">
        <v>631</v>
      </c>
      <c r="G71" s="271">
        <v>24</v>
      </c>
      <c r="H71" s="271" t="s">
        <v>631</v>
      </c>
      <c r="I71" s="271">
        <v>23</v>
      </c>
      <c r="J71" s="271" t="s">
        <v>631</v>
      </c>
      <c r="K71" s="271">
        <v>88</v>
      </c>
      <c r="L71" s="271" t="s">
        <v>631</v>
      </c>
      <c r="M71" s="271" t="s">
        <v>630</v>
      </c>
      <c r="N71" s="271" t="s">
        <v>631</v>
      </c>
      <c r="O71" s="271">
        <v>74</v>
      </c>
      <c r="P71" s="271" t="s">
        <v>631</v>
      </c>
      <c r="Q71" s="271" t="s">
        <v>630</v>
      </c>
      <c r="R71" s="271" t="s">
        <v>631</v>
      </c>
      <c r="S71" s="271" t="s">
        <v>630</v>
      </c>
      <c r="T71" s="271" t="s">
        <v>631</v>
      </c>
      <c r="U71" s="271">
        <v>66</v>
      </c>
      <c r="V71" s="271" t="s">
        <v>631</v>
      </c>
      <c r="W71" s="271">
        <v>48</v>
      </c>
      <c r="X71" s="271" t="s">
        <v>631</v>
      </c>
      <c r="Y71" s="271" t="s">
        <v>630</v>
      </c>
      <c r="Z71" s="271" t="s">
        <v>631</v>
      </c>
      <c r="AA71" s="271">
        <v>33</v>
      </c>
      <c r="AB71" s="271" t="s">
        <v>631</v>
      </c>
      <c r="AC71" s="263"/>
      <c r="AD71" s="263"/>
    </row>
    <row r="72" spans="1:30" x14ac:dyDescent="0.2">
      <c r="A72" s="263"/>
      <c r="B72" s="270" t="s">
        <v>94</v>
      </c>
      <c r="C72" s="271">
        <v>481</v>
      </c>
      <c r="D72" s="271">
        <v>11</v>
      </c>
      <c r="E72" s="271" t="s">
        <v>630</v>
      </c>
      <c r="F72" s="271" t="s">
        <v>631</v>
      </c>
      <c r="G72" s="271">
        <v>11</v>
      </c>
      <c r="H72" s="271" t="s">
        <v>631</v>
      </c>
      <c r="I72" s="271">
        <v>6</v>
      </c>
      <c r="J72" s="271" t="s">
        <v>631</v>
      </c>
      <c r="K72" s="271">
        <v>40</v>
      </c>
      <c r="L72" s="271" t="s">
        <v>631</v>
      </c>
      <c r="M72" s="271" t="s">
        <v>630</v>
      </c>
      <c r="N72" s="271" t="s">
        <v>631</v>
      </c>
      <c r="O72" s="271">
        <v>5</v>
      </c>
      <c r="P72" s="271" t="s">
        <v>631</v>
      </c>
      <c r="Q72" s="271" t="s">
        <v>630</v>
      </c>
      <c r="R72" s="271" t="s">
        <v>631</v>
      </c>
      <c r="S72" s="271" t="s">
        <v>630</v>
      </c>
      <c r="T72" s="271" t="s">
        <v>631</v>
      </c>
      <c r="U72" s="271">
        <v>110</v>
      </c>
      <c r="V72" s="271" t="s">
        <v>631</v>
      </c>
      <c r="W72" s="271">
        <v>81</v>
      </c>
      <c r="X72" s="271" t="s">
        <v>631</v>
      </c>
      <c r="Y72" s="271" t="s">
        <v>630</v>
      </c>
      <c r="Z72" s="271" t="s">
        <v>631</v>
      </c>
      <c r="AA72" s="271" t="s">
        <v>630</v>
      </c>
      <c r="AB72" s="271" t="s">
        <v>631</v>
      </c>
      <c r="AC72" s="263"/>
      <c r="AD72" s="263"/>
    </row>
    <row r="73" spans="1:30" x14ac:dyDescent="0.2">
      <c r="A73" s="263"/>
      <c r="B73" s="270" t="s">
        <v>82</v>
      </c>
      <c r="C73" s="271">
        <v>7970</v>
      </c>
      <c r="D73" s="271">
        <v>10</v>
      </c>
      <c r="E73" s="271" t="s">
        <v>630</v>
      </c>
      <c r="F73" s="271" t="s">
        <v>631</v>
      </c>
      <c r="G73" s="271" t="s">
        <v>630</v>
      </c>
      <c r="H73" s="271" t="s">
        <v>631</v>
      </c>
      <c r="I73" s="271" t="s">
        <v>630</v>
      </c>
      <c r="J73" s="271" t="s">
        <v>631</v>
      </c>
      <c r="K73" s="271">
        <v>8</v>
      </c>
      <c r="L73" s="271" t="s">
        <v>631</v>
      </c>
      <c r="M73" s="271" t="s">
        <v>630</v>
      </c>
      <c r="N73" s="271" t="s">
        <v>631</v>
      </c>
      <c r="O73" s="271" t="s">
        <v>630</v>
      </c>
      <c r="P73" s="271" t="s">
        <v>631</v>
      </c>
      <c r="Q73" s="271" t="s">
        <v>630</v>
      </c>
      <c r="R73" s="271" t="s">
        <v>631</v>
      </c>
      <c r="S73" s="271" t="s">
        <v>630</v>
      </c>
      <c r="T73" s="271" t="s">
        <v>631</v>
      </c>
      <c r="U73" s="271">
        <v>100</v>
      </c>
      <c r="V73" s="271" t="s">
        <v>631</v>
      </c>
      <c r="W73" s="271">
        <v>104</v>
      </c>
      <c r="X73" s="271" t="s">
        <v>631</v>
      </c>
      <c r="Y73" s="271" t="s">
        <v>630</v>
      </c>
      <c r="Z73" s="271" t="s">
        <v>631</v>
      </c>
      <c r="AA73" s="271" t="s">
        <v>630</v>
      </c>
      <c r="AB73" s="271" t="s">
        <v>631</v>
      </c>
      <c r="AC73" s="263"/>
      <c r="AD73" s="263"/>
    </row>
    <row r="74" spans="1:30" x14ac:dyDescent="0.2">
      <c r="A74" s="263"/>
      <c r="B74" s="270" t="s">
        <v>681</v>
      </c>
      <c r="C74" s="271">
        <v>5659</v>
      </c>
      <c r="D74" s="271">
        <v>22</v>
      </c>
      <c r="E74" s="271">
        <v>1</v>
      </c>
      <c r="F74" s="271" t="s">
        <v>631</v>
      </c>
      <c r="G74" s="271">
        <v>7</v>
      </c>
      <c r="H74" s="271" t="s">
        <v>631</v>
      </c>
      <c r="I74" s="271">
        <v>16</v>
      </c>
      <c r="J74" s="271" t="s">
        <v>631</v>
      </c>
      <c r="K74" s="271">
        <v>70</v>
      </c>
      <c r="L74" s="271" t="s">
        <v>632</v>
      </c>
      <c r="M74" s="271">
        <v>37</v>
      </c>
      <c r="N74" s="271" t="s">
        <v>631</v>
      </c>
      <c r="O74" s="271">
        <v>53</v>
      </c>
      <c r="P74" s="271" t="s">
        <v>631</v>
      </c>
      <c r="Q74" s="271">
        <v>93</v>
      </c>
      <c r="R74" s="271" t="s">
        <v>631</v>
      </c>
      <c r="S74" s="271">
        <v>87</v>
      </c>
      <c r="T74" s="271" t="s">
        <v>631</v>
      </c>
      <c r="U74" s="271">
        <v>82</v>
      </c>
      <c r="V74" s="271" t="s">
        <v>631</v>
      </c>
      <c r="W74" s="271">
        <v>40</v>
      </c>
      <c r="X74" s="271" t="s">
        <v>631</v>
      </c>
      <c r="Y74" s="271">
        <v>34</v>
      </c>
      <c r="Z74" s="271" t="s">
        <v>631</v>
      </c>
      <c r="AA74" s="271">
        <v>35</v>
      </c>
      <c r="AB74" s="271" t="s">
        <v>631</v>
      </c>
      <c r="AC74" s="263"/>
      <c r="AD74" s="263"/>
    </row>
    <row r="75" spans="1:30" x14ac:dyDescent="0.2">
      <c r="A75" s="263"/>
      <c r="B75" s="270" t="s">
        <v>32</v>
      </c>
      <c r="C75" s="271">
        <v>1055</v>
      </c>
      <c r="D75" s="271">
        <v>9</v>
      </c>
      <c r="E75" s="271" t="s">
        <v>630</v>
      </c>
      <c r="F75" s="271" t="s">
        <v>631</v>
      </c>
      <c r="G75" s="271" t="s">
        <v>630</v>
      </c>
      <c r="H75" s="271" t="s">
        <v>631</v>
      </c>
      <c r="I75" s="271" t="s">
        <v>630</v>
      </c>
      <c r="J75" s="271" t="s">
        <v>631</v>
      </c>
      <c r="K75" s="271">
        <v>10</v>
      </c>
      <c r="L75" s="271" t="s">
        <v>631</v>
      </c>
      <c r="M75" s="271" t="s">
        <v>630</v>
      </c>
      <c r="N75" s="271" t="s">
        <v>631</v>
      </c>
      <c r="O75" s="271" t="s">
        <v>630</v>
      </c>
      <c r="P75" s="271" t="s">
        <v>631</v>
      </c>
      <c r="Q75" s="271" t="s">
        <v>630</v>
      </c>
      <c r="R75" s="271" t="s">
        <v>631</v>
      </c>
      <c r="S75" s="271" t="s">
        <v>630</v>
      </c>
      <c r="T75" s="271" t="s">
        <v>631</v>
      </c>
      <c r="U75" s="271">
        <v>104</v>
      </c>
      <c r="V75" s="271" t="s">
        <v>631</v>
      </c>
      <c r="W75" s="271">
        <v>112</v>
      </c>
      <c r="X75" s="271" t="s">
        <v>631</v>
      </c>
      <c r="Y75" s="271" t="s">
        <v>630</v>
      </c>
      <c r="Z75" s="271" t="s">
        <v>631</v>
      </c>
      <c r="AA75" s="271" t="s">
        <v>630</v>
      </c>
      <c r="AB75" s="271" t="s">
        <v>631</v>
      </c>
      <c r="AC75" s="263"/>
      <c r="AD75" s="263"/>
    </row>
    <row r="76" spans="1:30" x14ac:dyDescent="0.2">
      <c r="A76" s="263"/>
      <c r="B76" s="270" t="s">
        <v>682</v>
      </c>
      <c r="C76" s="271">
        <v>19</v>
      </c>
      <c r="D76" s="271">
        <v>18</v>
      </c>
      <c r="E76" s="271" t="s">
        <v>630</v>
      </c>
      <c r="F76" s="271" t="s">
        <v>631</v>
      </c>
      <c r="G76" s="271" t="s">
        <v>630</v>
      </c>
      <c r="H76" s="271" t="s">
        <v>631</v>
      </c>
      <c r="I76" s="271" t="s">
        <v>630</v>
      </c>
      <c r="J76" s="271" t="s">
        <v>631</v>
      </c>
      <c r="K76" s="271">
        <v>53</v>
      </c>
      <c r="L76" s="271" t="s">
        <v>632</v>
      </c>
      <c r="M76" s="271" t="s">
        <v>630</v>
      </c>
      <c r="N76" s="271" t="s">
        <v>631</v>
      </c>
      <c r="O76" s="271" t="s">
        <v>630</v>
      </c>
      <c r="P76" s="271" t="s">
        <v>631</v>
      </c>
      <c r="Q76" s="271" t="s">
        <v>630</v>
      </c>
      <c r="R76" s="271" t="s">
        <v>631</v>
      </c>
      <c r="S76" s="271" t="s">
        <v>630</v>
      </c>
      <c r="T76" s="271" t="s">
        <v>631</v>
      </c>
      <c r="U76" s="271">
        <v>121</v>
      </c>
      <c r="V76" s="271" t="s">
        <v>631</v>
      </c>
      <c r="W76" s="271">
        <v>89</v>
      </c>
      <c r="X76" s="271" t="s">
        <v>631</v>
      </c>
      <c r="Y76" s="271">
        <v>67</v>
      </c>
      <c r="Z76" s="271" t="s">
        <v>631</v>
      </c>
      <c r="AA76" s="271">
        <v>59</v>
      </c>
      <c r="AB76" s="271" t="s">
        <v>631</v>
      </c>
      <c r="AC76" s="263"/>
      <c r="AD76" s="263"/>
    </row>
    <row r="77" spans="1:30" x14ac:dyDescent="0.2">
      <c r="A77" s="263"/>
      <c r="B77" s="270" t="s">
        <v>683</v>
      </c>
      <c r="C77" s="271">
        <v>3613</v>
      </c>
      <c r="D77" s="271">
        <v>23</v>
      </c>
      <c r="E77" s="271" t="s">
        <v>630</v>
      </c>
      <c r="F77" s="271" t="s">
        <v>631</v>
      </c>
      <c r="G77" s="271">
        <v>20</v>
      </c>
      <c r="H77" s="271" t="s">
        <v>631</v>
      </c>
      <c r="I77" s="271">
        <v>22</v>
      </c>
      <c r="J77" s="271" t="s">
        <v>631</v>
      </c>
      <c r="K77" s="271">
        <v>92</v>
      </c>
      <c r="L77" s="271" t="s">
        <v>631</v>
      </c>
      <c r="M77" s="271" t="s">
        <v>630</v>
      </c>
      <c r="N77" s="271" t="s">
        <v>631</v>
      </c>
      <c r="O77" s="271" t="s">
        <v>630</v>
      </c>
      <c r="P77" s="271" t="s">
        <v>631</v>
      </c>
      <c r="Q77" s="271" t="s">
        <v>630</v>
      </c>
      <c r="R77" s="271" t="s">
        <v>631</v>
      </c>
      <c r="S77" s="271" t="s">
        <v>630</v>
      </c>
      <c r="T77" s="271" t="s">
        <v>631</v>
      </c>
      <c r="U77" s="271">
        <v>71</v>
      </c>
      <c r="V77" s="271" t="s">
        <v>631</v>
      </c>
      <c r="W77" s="271">
        <v>56</v>
      </c>
      <c r="X77" s="271" t="s">
        <v>631</v>
      </c>
      <c r="Y77" s="271">
        <v>24</v>
      </c>
      <c r="Z77" s="271" t="s">
        <v>631</v>
      </c>
      <c r="AA77" s="271">
        <v>20</v>
      </c>
      <c r="AB77" s="271" t="s">
        <v>631</v>
      </c>
      <c r="AC77" s="263"/>
      <c r="AD77" s="263"/>
    </row>
    <row r="78" spans="1:30" x14ac:dyDescent="0.2">
      <c r="A78" s="263"/>
      <c r="B78" s="270" t="s">
        <v>684</v>
      </c>
      <c r="C78" s="271">
        <v>2698</v>
      </c>
      <c r="D78" s="271">
        <v>23</v>
      </c>
      <c r="E78" s="271">
        <v>1</v>
      </c>
      <c r="F78" s="271" t="s">
        <v>631</v>
      </c>
      <c r="G78" s="271">
        <v>33</v>
      </c>
      <c r="H78" s="271" t="s">
        <v>631</v>
      </c>
      <c r="I78" s="271">
        <v>40</v>
      </c>
      <c r="J78" s="271" t="s">
        <v>631</v>
      </c>
      <c r="K78" s="271">
        <v>154</v>
      </c>
      <c r="L78" s="271" t="s">
        <v>631</v>
      </c>
      <c r="M78" s="271">
        <v>63</v>
      </c>
      <c r="N78" s="271" t="s">
        <v>631</v>
      </c>
      <c r="O78" s="271">
        <v>89</v>
      </c>
      <c r="P78" s="271" t="s">
        <v>631</v>
      </c>
      <c r="Q78" s="271">
        <v>55</v>
      </c>
      <c r="R78" s="271" t="s">
        <v>631</v>
      </c>
      <c r="S78" s="271">
        <v>53</v>
      </c>
      <c r="T78" s="271" t="s">
        <v>631</v>
      </c>
      <c r="U78" s="271">
        <v>45</v>
      </c>
      <c r="V78" s="271" t="s">
        <v>631</v>
      </c>
      <c r="W78" s="271">
        <v>28</v>
      </c>
      <c r="X78" s="271" t="s">
        <v>631</v>
      </c>
      <c r="Y78" s="271">
        <v>29</v>
      </c>
      <c r="Z78" s="271" t="s">
        <v>631</v>
      </c>
      <c r="AA78" s="271">
        <v>20</v>
      </c>
      <c r="AB78" s="271" t="s">
        <v>631</v>
      </c>
      <c r="AC78" s="263"/>
      <c r="AD78" s="263"/>
    </row>
    <row r="79" spans="1:30" x14ac:dyDescent="0.2">
      <c r="A79" s="263"/>
      <c r="B79" s="270" t="s">
        <v>685</v>
      </c>
      <c r="C79" s="271">
        <v>384</v>
      </c>
      <c r="D79" s="271">
        <v>23</v>
      </c>
      <c r="E79" s="271" t="s">
        <v>630</v>
      </c>
      <c r="F79" s="271" t="s">
        <v>631</v>
      </c>
      <c r="G79" s="271">
        <v>19</v>
      </c>
      <c r="H79" s="271" t="s">
        <v>631</v>
      </c>
      <c r="I79" s="271">
        <v>33</v>
      </c>
      <c r="J79" s="271" t="s">
        <v>631</v>
      </c>
      <c r="K79" s="271">
        <v>137</v>
      </c>
      <c r="L79" s="271" t="s">
        <v>631</v>
      </c>
      <c r="M79" s="271" t="s">
        <v>630</v>
      </c>
      <c r="N79" s="271" t="s">
        <v>631</v>
      </c>
      <c r="O79" s="271">
        <v>39</v>
      </c>
      <c r="P79" s="271" t="s">
        <v>641</v>
      </c>
      <c r="Q79" s="271" t="s">
        <v>630</v>
      </c>
      <c r="R79" s="271" t="s">
        <v>631</v>
      </c>
      <c r="S79" s="271" t="s">
        <v>630</v>
      </c>
      <c r="T79" s="271" t="s">
        <v>631</v>
      </c>
      <c r="U79" s="271" t="s">
        <v>630</v>
      </c>
      <c r="V79" s="271" t="s">
        <v>631</v>
      </c>
      <c r="W79" s="271" t="s">
        <v>630</v>
      </c>
      <c r="X79" s="271" t="s">
        <v>631</v>
      </c>
      <c r="Y79" s="271" t="s">
        <v>630</v>
      </c>
      <c r="Z79" s="271" t="s">
        <v>631</v>
      </c>
      <c r="AA79" s="271">
        <v>12</v>
      </c>
      <c r="AB79" s="271" t="s">
        <v>631</v>
      </c>
      <c r="AC79" s="263"/>
      <c r="AD79" s="263"/>
    </row>
    <row r="80" spans="1:30" x14ac:dyDescent="0.2">
      <c r="A80" s="263"/>
      <c r="B80" s="270" t="s">
        <v>686</v>
      </c>
      <c r="C80" s="271">
        <v>179</v>
      </c>
      <c r="D80" s="271">
        <v>22</v>
      </c>
      <c r="E80" s="271">
        <v>1</v>
      </c>
      <c r="F80" s="271" t="s">
        <v>631</v>
      </c>
      <c r="G80" s="271">
        <v>16</v>
      </c>
      <c r="H80" s="271" t="s">
        <v>631</v>
      </c>
      <c r="I80" s="271">
        <v>16</v>
      </c>
      <c r="J80" s="271" t="s">
        <v>631</v>
      </c>
      <c r="K80" s="271">
        <v>97</v>
      </c>
      <c r="L80" s="271" t="s">
        <v>632</v>
      </c>
      <c r="M80" s="271">
        <v>25</v>
      </c>
      <c r="N80" s="271" t="s">
        <v>631</v>
      </c>
      <c r="O80" s="271">
        <v>18</v>
      </c>
      <c r="P80" s="271" t="s">
        <v>631</v>
      </c>
      <c r="Q80" s="271">
        <v>94</v>
      </c>
      <c r="R80" s="271" t="s">
        <v>631</v>
      </c>
      <c r="S80" s="271">
        <v>94</v>
      </c>
      <c r="T80" s="271" t="s">
        <v>631</v>
      </c>
      <c r="U80" s="271">
        <v>104</v>
      </c>
      <c r="V80" s="271" t="s">
        <v>631</v>
      </c>
      <c r="W80" s="271">
        <v>96</v>
      </c>
      <c r="X80" s="271" t="s">
        <v>631</v>
      </c>
      <c r="Y80" s="271">
        <v>45</v>
      </c>
      <c r="Z80" s="271" t="s">
        <v>631</v>
      </c>
      <c r="AA80" s="271">
        <v>53</v>
      </c>
      <c r="AB80" s="271" t="s">
        <v>631</v>
      </c>
      <c r="AC80" s="263"/>
      <c r="AD80" s="263"/>
    </row>
    <row r="81" spans="1:30" x14ac:dyDescent="0.2">
      <c r="A81" s="263"/>
      <c r="B81" s="270" t="s">
        <v>687</v>
      </c>
      <c r="C81" s="271">
        <v>2255</v>
      </c>
      <c r="D81" s="271">
        <v>22</v>
      </c>
      <c r="E81" s="271">
        <v>2</v>
      </c>
      <c r="F81" s="271" t="s">
        <v>631</v>
      </c>
      <c r="G81" s="271">
        <v>12</v>
      </c>
      <c r="H81" s="271" t="s">
        <v>631</v>
      </c>
      <c r="I81" s="271">
        <v>13</v>
      </c>
      <c r="J81" s="271" t="s">
        <v>631</v>
      </c>
      <c r="K81" s="271">
        <v>65</v>
      </c>
      <c r="L81" s="271" t="s">
        <v>631</v>
      </c>
      <c r="M81" s="271">
        <v>22</v>
      </c>
      <c r="N81" s="271" t="s">
        <v>631</v>
      </c>
      <c r="O81" s="271">
        <v>24</v>
      </c>
      <c r="P81" s="271" t="s">
        <v>631</v>
      </c>
      <c r="Q81" s="271">
        <v>85</v>
      </c>
      <c r="R81" s="271" t="s">
        <v>631</v>
      </c>
      <c r="S81" s="271">
        <v>80</v>
      </c>
      <c r="T81" s="271" t="s">
        <v>631</v>
      </c>
      <c r="U81" s="271" t="s">
        <v>630</v>
      </c>
      <c r="V81" s="271" t="s">
        <v>631</v>
      </c>
      <c r="W81" s="271" t="s">
        <v>630</v>
      </c>
      <c r="X81" s="271" t="s">
        <v>631</v>
      </c>
      <c r="Y81" s="271">
        <v>25</v>
      </c>
      <c r="Z81" s="271" t="s">
        <v>631</v>
      </c>
      <c r="AA81" s="271">
        <v>32</v>
      </c>
      <c r="AB81" s="271" t="s">
        <v>631</v>
      </c>
      <c r="AC81" s="263"/>
      <c r="AD81" s="263"/>
    </row>
    <row r="82" spans="1:30" x14ac:dyDescent="0.2">
      <c r="A82" s="263"/>
      <c r="B82" s="270" t="s">
        <v>688</v>
      </c>
      <c r="C82" s="271" t="s">
        <v>630</v>
      </c>
      <c r="D82" s="271" t="s">
        <v>630</v>
      </c>
      <c r="E82" s="271" t="s">
        <v>630</v>
      </c>
      <c r="F82" s="271" t="s">
        <v>631</v>
      </c>
      <c r="G82" s="271" t="s">
        <v>630</v>
      </c>
      <c r="H82" s="271" t="s">
        <v>631</v>
      </c>
      <c r="I82" s="271" t="s">
        <v>630</v>
      </c>
      <c r="J82" s="271" t="s">
        <v>631</v>
      </c>
      <c r="K82" s="271" t="s">
        <v>630</v>
      </c>
      <c r="L82" s="271" t="s">
        <v>631</v>
      </c>
      <c r="M82" s="271" t="s">
        <v>630</v>
      </c>
      <c r="N82" s="271" t="s">
        <v>631</v>
      </c>
      <c r="O82" s="271" t="s">
        <v>630</v>
      </c>
      <c r="P82" s="271" t="s">
        <v>631</v>
      </c>
      <c r="Q82" s="271" t="s">
        <v>630</v>
      </c>
      <c r="R82" s="271" t="s">
        <v>631</v>
      </c>
      <c r="S82" s="271" t="s">
        <v>630</v>
      </c>
      <c r="T82" s="271" t="s">
        <v>631</v>
      </c>
      <c r="U82" s="271" t="s">
        <v>630</v>
      </c>
      <c r="V82" s="271" t="s">
        <v>631</v>
      </c>
      <c r="W82" s="271" t="s">
        <v>630</v>
      </c>
      <c r="X82" s="271" t="s">
        <v>631</v>
      </c>
      <c r="Y82" s="271" t="s">
        <v>630</v>
      </c>
      <c r="Z82" s="271" t="s">
        <v>631</v>
      </c>
      <c r="AA82" s="271" t="s">
        <v>630</v>
      </c>
      <c r="AB82" s="271" t="s">
        <v>631</v>
      </c>
      <c r="AC82" s="263"/>
      <c r="AD82" s="263"/>
    </row>
    <row r="83" spans="1:30" x14ac:dyDescent="0.2">
      <c r="A83" s="263"/>
      <c r="B83" s="270" t="s">
        <v>689</v>
      </c>
      <c r="C83" s="271">
        <v>1801</v>
      </c>
      <c r="D83" s="271">
        <v>22</v>
      </c>
      <c r="E83" s="271">
        <v>5</v>
      </c>
      <c r="F83" s="271" t="s">
        <v>631</v>
      </c>
      <c r="G83" s="271">
        <v>23</v>
      </c>
      <c r="H83" s="271" t="s">
        <v>631</v>
      </c>
      <c r="I83" s="271">
        <v>22</v>
      </c>
      <c r="J83" s="271" t="s">
        <v>631</v>
      </c>
      <c r="K83" s="271">
        <v>99</v>
      </c>
      <c r="L83" s="271" t="s">
        <v>631</v>
      </c>
      <c r="M83" s="271">
        <v>18</v>
      </c>
      <c r="N83" s="271" t="s">
        <v>631</v>
      </c>
      <c r="O83" s="271">
        <v>15</v>
      </c>
      <c r="P83" s="271" t="s">
        <v>631</v>
      </c>
      <c r="Q83" s="271">
        <v>98</v>
      </c>
      <c r="R83" s="271" t="s">
        <v>631</v>
      </c>
      <c r="S83" s="271">
        <v>94</v>
      </c>
      <c r="T83" s="271" t="s">
        <v>631</v>
      </c>
      <c r="U83" s="271">
        <v>75</v>
      </c>
      <c r="V83" s="271" t="s">
        <v>631</v>
      </c>
      <c r="W83" s="271">
        <v>71</v>
      </c>
      <c r="X83" s="271" t="s">
        <v>631</v>
      </c>
      <c r="Y83" s="271">
        <v>33</v>
      </c>
      <c r="Z83" s="271" t="s">
        <v>631</v>
      </c>
      <c r="AA83" s="271">
        <v>29</v>
      </c>
      <c r="AB83" s="271" t="s">
        <v>631</v>
      </c>
      <c r="AC83" s="263"/>
      <c r="AD83" s="263"/>
    </row>
    <row r="84" spans="1:30" x14ac:dyDescent="0.2">
      <c r="A84" s="263"/>
      <c r="B84" s="270" t="s">
        <v>113</v>
      </c>
      <c r="C84" s="271">
        <v>1021</v>
      </c>
      <c r="D84" s="271">
        <v>10</v>
      </c>
      <c r="E84" s="271" t="s">
        <v>630</v>
      </c>
      <c r="F84" s="271" t="s">
        <v>631</v>
      </c>
      <c r="G84" s="271" t="s">
        <v>630</v>
      </c>
      <c r="H84" s="271" t="s">
        <v>631</v>
      </c>
      <c r="I84" s="271" t="s">
        <v>630</v>
      </c>
      <c r="J84" s="271" t="s">
        <v>631</v>
      </c>
      <c r="K84" s="271">
        <v>18</v>
      </c>
      <c r="L84" s="271" t="s">
        <v>631</v>
      </c>
      <c r="M84" s="271" t="s">
        <v>630</v>
      </c>
      <c r="N84" s="271" t="s">
        <v>631</v>
      </c>
      <c r="O84" s="271" t="s">
        <v>630</v>
      </c>
      <c r="P84" s="271" t="s">
        <v>631</v>
      </c>
      <c r="Q84" s="271" t="s">
        <v>630</v>
      </c>
      <c r="R84" s="271" t="s">
        <v>631</v>
      </c>
      <c r="S84" s="271" t="s">
        <v>630</v>
      </c>
      <c r="T84" s="271" t="s">
        <v>631</v>
      </c>
      <c r="U84" s="271">
        <v>101</v>
      </c>
      <c r="V84" s="271" t="s">
        <v>631</v>
      </c>
      <c r="W84" s="271">
        <v>102</v>
      </c>
      <c r="X84" s="271" t="s">
        <v>631</v>
      </c>
      <c r="Y84" s="271" t="s">
        <v>630</v>
      </c>
      <c r="Z84" s="271" t="s">
        <v>631</v>
      </c>
      <c r="AA84" s="271" t="s">
        <v>630</v>
      </c>
      <c r="AB84" s="271" t="s">
        <v>631</v>
      </c>
      <c r="AC84" s="263"/>
      <c r="AD84" s="263"/>
    </row>
    <row r="85" spans="1:30" x14ac:dyDescent="0.2">
      <c r="A85" s="263"/>
      <c r="B85" s="270" t="s">
        <v>114</v>
      </c>
      <c r="C85" s="271">
        <v>44</v>
      </c>
      <c r="D85" s="271">
        <v>13</v>
      </c>
      <c r="E85" s="271" t="s">
        <v>630</v>
      </c>
      <c r="F85" s="271" t="s">
        <v>631</v>
      </c>
      <c r="G85" s="271" t="s">
        <v>630</v>
      </c>
      <c r="H85" s="271" t="s">
        <v>631</v>
      </c>
      <c r="I85" s="271" t="s">
        <v>630</v>
      </c>
      <c r="J85" s="271" t="s">
        <v>631</v>
      </c>
      <c r="K85" s="271">
        <v>11</v>
      </c>
      <c r="L85" s="271" t="s">
        <v>631</v>
      </c>
      <c r="M85" s="271" t="s">
        <v>630</v>
      </c>
      <c r="N85" s="271" t="s">
        <v>631</v>
      </c>
      <c r="O85" s="271" t="s">
        <v>630</v>
      </c>
      <c r="P85" s="271" t="s">
        <v>631</v>
      </c>
      <c r="Q85" s="271" t="s">
        <v>630</v>
      </c>
      <c r="R85" s="271" t="s">
        <v>631</v>
      </c>
      <c r="S85" s="271" t="s">
        <v>630</v>
      </c>
      <c r="T85" s="271" t="s">
        <v>631</v>
      </c>
      <c r="U85" s="271">
        <v>97</v>
      </c>
      <c r="V85" s="271" t="s">
        <v>631</v>
      </c>
      <c r="W85" s="271">
        <v>117</v>
      </c>
      <c r="X85" s="271" t="s">
        <v>631</v>
      </c>
      <c r="Y85" s="271" t="s">
        <v>630</v>
      </c>
      <c r="Z85" s="271" t="s">
        <v>631</v>
      </c>
      <c r="AA85" s="271" t="s">
        <v>630</v>
      </c>
      <c r="AB85" s="271" t="s">
        <v>631</v>
      </c>
      <c r="AC85" s="263"/>
      <c r="AD85" s="263"/>
    </row>
    <row r="86" spans="1:30" x14ac:dyDescent="0.2">
      <c r="A86" s="263"/>
      <c r="B86" s="270" t="s">
        <v>690</v>
      </c>
      <c r="C86" s="271">
        <v>239441</v>
      </c>
      <c r="D86" s="271">
        <v>19</v>
      </c>
      <c r="E86" s="271">
        <v>5</v>
      </c>
      <c r="F86" s="271" t="s">
        <v>631</v>
      </c>
      <c r="G86" s="271">
        <v>30</v>
      </c>
      <c r="H86" s="271" t="s">
        <v>631</v>
      </c>
      <c r="I86" s="271">
        <v>22</v>
      </c>
      <c r="J86" s="271" t="s">
        <v>632</v>
      </c>
      <c r="K86" s="271">
        <v>39</v>
      </c>
      <c r="L86" s="271" t="s">
        <v>631</v>
      </c>
      <c r="M86" s="271">
        <v>47</v>
      </c>
      <c r="N86" s="271" t="s">
        <v>631</v>
      </c>
      <c r="O86" s="271">
        <v>45</v>
      </c>
      <c r="P86" s="271" t="s">
        <v>631</v>
      </c>
      <c r="Q86" s="271">
        <v>88</v>
      </c>
      <c r="R86" s="271" t="s">
        <v>631</v>
      </c>
      <c r="S86" s="271">
        <v>72</v>
      </c>
      <c r="T86" s="271" t="s">
        <v>631</v>
      </c>
      <c r="U86" s="271">
        <v>86</v>
      </c>
      <c r="V86" s="271" t="s">
        <v>631</v>
      </c>
      <c r="W86" s="271">
        <v>55</v>
      </c>
      <c r="X86" s="271" t="s">
        <v>631</v>
      </c>
      <c r="Y86" s="271">
        <v>35</v>
      </c>
      <c r="Z86" s="271" t="s">
        <v>632</v>
      </c>
      <c r="AA86" s="271">
        <v>19</v>
      </c>
      <c r="AB86" s="271" t="s">
        <v>632</v>
      </c>
      <c r="AC86" s="263"/>
      <c r="AD86" s="263"/>
    </row>
    <row r="87" spans="1:30" x14ac:dyDescent="0.2">
      <c r="A87" s="263"/>
      <c r="B87" s="270" t="s">
        <v>691</v>
      </c>
      <c r="C87" s="271">
        <v>45258</v>
      </c>
      <c r="D87" s="271">
        <v>18</v>
      </c>
      <c r="E87" s="271" t="s">
        <v>630</v>
      </c>
      <c r="F87" s="271" t="s">
        <v>631</v>
      </c>
      <c r="G87" s="271">
        <v>13</v>
      </c>
      <c r="H87" s="271" t="s">
        <v>631</v>
      </c>
      <c r="I87" s="271">
        <v>7</v>
      </c>
      <c r="J87" s="271" t="s">
        <v>631</v>
      </c>
      <c r="K87" s="271">
        <v>47</v>
      </c>
      <c r="L87" s="271" t="s">
        <v>631</v>
      </c>
      <c r="M87" s="271">
        <v>48</v>
      </c>
      <c r="N87" s="271" t="s">
        <v>641</v>
      </c>
      <c r="O87" s="271">
        <v>45</v>
      </c>
      <c r="P87" s="271" t="s">
        <v>631</v>
      </c>
      <c r="Q87" s="271">
        <v>88</v>
      </c>
      <c r="R87" s="271" t="s">
        <v>641</v>
      </c>
      <c r="S87" s="271">
        <v>91</v>
      </c>
      <c r="T87" s="271" t="s">
        <v>631</v>
      </c>
      <c r="U87" s="271">
        <v>91</v>
      </c>
      <c r="V87" s="271" t="s">
        <v>631</v>
      </c>
      <c r="W87" s="271">
        <v>73</v>
      </c>
      <c r="X87" s="271" t="s">
        <v>631</v>
      </c>
      <c r="Y87" s="271">
        <v>4</v>
      </c>
      <c r="Z87" s="271" t="s">
        <v>692</v>
      </c>
      <c r="AA87" s="271">
        <v>9</v>
      </c>
      <c r="AB87" s="271" t="s">
        <v>631</v>
      </c>
      <c r="AC87" s="263"/>
      <c r="AD87" s="263"/>
    </row>
    <row r="88" spans="1:30" x14ac:dyDescent="0.2">
      <c r="A88" s="263"/>
      <c r="B88" s="270" t="s">
        <v>693</v>
      </c>
      <c r="C88" s="271">
        <v>11452</v>
      </c>
      <c r="D88" s="271">
        <v>15</v>
      </c>
      <c r="E88" s="271" t="s">
        <v>630</v>
      </c>
      <c r="F88" s="271" t="s">
        <v>631</v>
      </c>
      <c r="G88" s="271">
        <v>16</v>
      </c>
      <c r="H88" s="271" t="s">
        <v>631</v>
      </c>
      <c r="I88" s="271">
        <v>5</v>
      </c>
      <c r="J88" s="271" t="s">
        <v>631</v>
      </c>
      <c r="K88" s="271">
        <v>23</v>
      </c>
      <c r="L88" s="271" t="s">
        <v>631</v>
      </c>
      <c r="M88" s="271" t="s">
        <v>630</v>
      </c>
      <c r="N88" s="271" t="s">
        <v>631</v>
      </c>
      <c r="O88" s="271" t="s">
        <v>630</v>
      </c>
      <c r="P88" s="271" t="s">
        <v>631</v>
      </c>
      <c r="Q88" s="271" t="s">
        <v>630</v>
      </c>
      <c r="R88" s="271" t="s">
        <v>631</v>
      </c>
      <c r="S88" s="271" t="s">
        <v>630</v>
      </c>
      <c r="T88" s="271" t="s">
        <v>631</v>
      </c>
      <c r="U88" s="271">
        <v>101</v>
      </c>
      <c r="V88" s="271" t="s">
        <v>631</v>
      </c>
      <c r="W88" s="271">
        <v>77</v>
      </c>
      <c r="X88" s="271" t="s">
        <v>631</v>
      </c>
      <c r="Y88" s="271" t="s">
        <v>630</v>
      </c>
      <c r="Z88" s="271" t="s">
        <v>631</v>
      </c>
      <c r="AA88" s="271" t="s">
        <v>630</v>
      </c>
      <c r="AB88" s="271" t="s">
        <v>631</v>
      </c>
      <c r="AC88" s="263"/>
      <c r="AD88" s="263"/>
    </row>
    <row r="89" spans="1:30" x14ac:dyDescent="0.2">
      <c r="A89" s="263"/>
      <c r="B89" s="270" t="s">
        <v>694</v>
      </c>
      <c r="C89" s="271">
        <v>7701</v>
      </c>
      <c r="D89" s="271">
        <v>23</v>
      </c>
      <c r="E89" s="271" t="s">
        <v>630</v>
      </c>
      <c r="F89" s="271" t="s">
        <v>631</v>
      </c>
      <c r="G89" s="271">
        <v>21</v>
      </c>
      <c r="H89" s="271" t="s">
        <v>631</v>
      </c>
      <c r="I89" s="271">
        <v>12</v>
      </c>
      <c r="J89" s="271" t="s">
        <v>631</v>
      </c>
      <c r="K89" s="271">
        <v>68</v>
      </c>
      <c r="L89" s="271" t="s">
        <v>632</v>
      </c>
      <c r="M89" s="271" t="s">
        <v>630</v>
      </c>
      <c r="N89" s="271" t="s">
        <v>631</v>
      </c>
      <c r="O89" s="271">
        <v>50</v>
      </c>
      <c r="P89" s="271" t="s">
        <v>631</v>
      </c>
      <c r="Q89" s="271" t="s">
        <v>630</v>
      </c>
      <c r="R89" s="271" t="s">
        <v>631</v>
      </c>
      <c r="S89" s="271" t="s">
        <v>630</v>
      </c>
      <c r="T89" s="271" t="s">
        <v>631</v>
      </c>
      <c r="U89" s="271" t="s">
        <v>630</v>
      </c>
      <c r="V89" s="271" t="s">
        <v>631</v>
      </c>
      <c r="W89" s="271" t="s">
        <v>630</v>
      </c>
      <c r="X89" s="271" t="s">
        <v>631</v>
      </c>
      <c r="Y89" s="271" t="s">
        <v>630</v>
      </c>
      <c r="Z89" s="271" t="s">
        <v>631</v>
      </c>
      <c r="AA89" s="271">
        <v>3</v>
      </c>
      <c r="AB89" s="271" t="s">
        <v>631</v>
      </c>
      <c r="AC89" s="263"/>
      <c r="AD89" s="263"/>
    </row>
    <row r="90" spans="1:30" x14ac:dyDescent="0.2">
      <c r="A90" s="263"/>
      <c r="B90" s="270" t="s">
        <v>115</v>
      </c>
      <c r="C90" s="271">
        <v>592</v>
      </c>
      <c r="D90" s="271">
        <v>13</v>
      </c>
      <c r="E90" s="271" t="s">
        <v>630</v>
      </c>
      <c r="F90" s="271" t="s">
        <v>631</v>
      </c>
      <c r="G90" s="271" t="s">
        <v>630</v>
      </c>
      <c r="H90" s="271" t="s">
        <v>631</v>
      </c>
      <c r="I90" s="271" t="s">
        <v>630</v>
      </c>
      <c r="J90" s="271" t="s">
        <v>631</v>
      </c>
      <c r="K90" s="271">
        <v>14</v>
      </c>
      <c r="L90" s="271" t="s">
        <v>631</v>
      </c>
      <c r="M90" s="271" t="s">
        <v>630</v>
      </c>
      <c r="N90" s="271" t="s">
        <v>631</v>
      </c>
      <c r="O90" s="271" t="s">
        <v>630</v>
      </c>
      <c r="P90" s="271" t="s">
        <v>631</v>
      </c>
      <c r="Q90" s="271" t="s">
        <v>630</v>
      </c>
      <c r="R90" s="271" t="s">
        <v>631</v>
      </c>
      <c r="S90" s="271" t="s">
        <v>630</v>
      </c>
      <c r="T90" s="271" t="s">
        <v>631</v>
      </c>
      <c r="U90" s="271">
        <v>109</v>
      </c>
      <c r="V90" s="271" t="s">
        <v>631</v>
      </c>
      <c r="W90" s="271">
        <v>135</v>
      </c>
      <c r="X90" s="271" t="s">
        <v>631</v>
      </c>
      <c r="Y90" s="271" t="s">
        <v>630</v>
      </c>
      <c r="Z90" s="271" t="s">
        <v>631</v>
      </c>
      <c r="AA90" s="271" t="s">
        <v>630</v>
      </c>
      <c r="AB90" s="271" t="s">
        <v>631</v>
      </c>
      <c r="AC90" s="263"/>
      <c r="AD90" s="263"/>
    </row>
    <row r="91" spans="1:30" x14ac:dyDescent="0.2">
      <c r="A91" s="263"/>
      <c r="B91" s="270" t="s">
        <v>116</v>
      </c>
      <c r="C91" s="271">
        <v>1242</v>
      </c>
      <c r="D91" s="271">
        <v>16</v>
      </c>
      <c r="E91" s="271" t="s">
        <v>630</v>
      </c>
      <c r="F91" s="271" t="s">
        <v>631</v>
      </c>
      <c r="G91" s="271" t="s">
        <v>630</v>
      </c>
      <c r="H91" s="271" t="s">
        <v>631</v>
      </c>
      <c r="I91" s="271" t="s">
        <v>630</v>
      </c>
      <c r="J91" s="271" t="s">
        <v>631</v>
      </c>
      <c r="K91" s="271">
        <v>13</v>
      </c>
      <c r="L91" s="271" t="s">
        <v>631</v>
      </c>
      <c r="M91" s="271" t="s">
        <v>630</v>
      </c>
      <c r="N91" s="271" t="s">
        <v>631</v>
      </c>
      <c r="O91" s="271" t="s">
        <v>630</v>
      </c>
      <c r="P91" s="271" t="s">
        <v>631</v>
      </c>
      <c r="Q91" s="271" t="s">
        <v>630</v>
      </c>
      <c r="R91" s="271" t="s">
        <v>631</v>
      </c>
      <c r="S91" s="271" t="s">
        <v>630</v>
      </c>
      <c r="T91" s="271" t="s">
        <v>631</v>
      </c>
      <c r="U91" s="271">
        <v>103</v>
      </c>
      <c r="V91" s="271" t="s">
        <v>631</v>
      </c>
      <c r="W91" s="271">
        <v>100</v>
      </c>
      <c r="X91" s="271" t="s">
        <v>631</v>
      </c>
      <c r="Y91" s="271" t="s">
        <v>630</v>
      </c>
      <c r="Z91" s="271" t="s">
        <v>631</v>
      </c>
      <c r="AA91" s="271" t="s">
        <v>630</v>
      </c>
      <c r="AB91" s="271" t="s">
        <v>631</v>
      </c>
      <c r="AC91" s="263"/>
      <c r="AD91" s="263"/>
    </row>
    <row r="92" spans="1:30" x14ac:dyDescent="0.2">
      <c r="A92" s="263"/>
      <c r="B92" s="270" t="s">
        <v>117</v>
      </c>
      <c r="C92" s="271">
        <v>5783</v>
      </c>
      <c r="D92" s="271">
        <v>9</v>
      </c>
      <c r="E92" s="271" t="s">
        <v>630</v>
      </c>
      <c r="F92" s="271" t="s">
        <v>631</v>
      </c>
      <c r="G92" s="271" t="s">
        <v>630</v>
      </c>
      <c r="H92" s="271" t="s">
        <v>631</v>
      </c>
      <c r="I92" s="271" t="s">
        <v>630</v>
      </c>
      <c r="J92" s="271" t="s">
        <v>631</v>
      </c>
      <c r="K92" s="271">
        <v>7</v>
      </c>
      <c r="L92" s="271" t="s">
        <v>631</v>
      </c>
      <c r="M92" s="271" t="s">
        <v>630</v>
      </c>
      <c r="N92" s="271" t="s">
        <v>631</v>
      </c>
      <c r="O92" s="271" t="s">
        <v>630</v>
      </c>
      <c r="P92" s="271" t="s">
        <v>631</v>
      </c>
      <c r="Q92" s="271" t="s">
        <v>630</v>
      </c>
      <c r="R92" s="271" t="s">
        <v>631</v>
      </c>
      <c r="S92" s="271" t="s">
        <v>630</v>
      </c>
      <c r="T92" s="271" t="s">
        <v>631</v>
      </c>
      <c r="U92" s="271">
        <v>106</v>
      </c>
      <c r="V92" s="271" t="s">
        <v>631</v>
      </c>
      <c r="W92" s="271">
        <v>97</v>
      </c>
      <c r="X92" s="271" t="s">
        <v>631</v>
      </c>
      <c r="Y92" s="271" t="s">
        <v>630</v>
      </c>
      <c r="Z92" s="271" t="s">
        <v>631</v>
      </c>
      <c r="AA92" s="271" t="s">
        <v>630</v>
      </c>
      <c r="AB92" s="271" t="s">
        <v>631</v>
      </c>
      <c r="AC92" s="263"/>
      <c r="AD92" s="263"/>
    </row>
    <row r="93" spans="1:30" x14ac:dyDescent="0.2">
      <c r="A93" s="263"/>
      <c r="B93" s="270" t="s">
        <v>695</v>
      </c>
      <c r="C93" s="271">
        <v>554</v>
      </c>
      <c r="D93" s="271">
        <v>20</v>
      </c>
      <c r="E93" s="271" t="s">
        <v>630</v>
      </c>
      <c r="F93" s="271" t="s">
        <v>631</v>
      </c>
      <c r="G93" s="271">
        <v>3</v>
      </c>
      <c r="H93" s="271" t="s">
        <v>631</v>
      </c>
      <c r="I93" s="271">
        <v>15</v>
      </c>
      <c r="J93" s="271" t="s">
        <v>631</v>
      </c>
      <c r="K93" s="271">
        <v>72</v>
      </c>
      <c r="L93" s="271" t="s">
        <v>632</v>
      </c>
      <c r="M93" s="271" t="s">
        <v>630</v>
      </c>
      <c r="N93" s="271" t="s">
        <v>631</v>
      </c>
      <c r="O93" s="271">
        <v>8</v>
      </c>
      <c r="P93" s="271" t="s">
        <v>631</v>
      </c>
      <c r="Q93" s="271" t="s">
        <v>630</v>
      </c>
      <c r="R93" s="271" t="s">
        <v>631</v>
      </c>
      <c r="S93" s="271" t="s">
        <v>630</v>
      </c>
      <c r="T93" s="271" t="s">
        <v>631</v>
      </c>
      <c r="U93" s="271">
        <v>88</v>
      </c>
      <c r="V93" s="271" t="s">
        <v>631</v>
      </c>
      <c r="W93" s="271">
        <v>92</v>
      </c>
      <c r="X93" s="271" t="s">
        <v>631</v>
      </c>
      <c r="Y93" s="271">
        <v>34</v>
      </c>
      <c r="Z93" s="271" t="s">
        <v>641</v>
      </c>
      <c r="AA93" s="271">
        <v>39</v>
      </c>
      <c r="AB93" s="271" t="s">
        <v>641</v>
      </c>
      <c r="AC93" s="263"/>
      <c r="AD93" s="263"/>
    </row>
    <row r="94" spans="1:30" x14ac:dyDescent="0.2">
      <c r="A94" s="263"/>
      <c r="B94" s="270" t="s">
        <v>696</v>
      </c>
      <c r="C94" s="271">
        <v>11749</v>
      </c>
      <c r="D94" s="271">
        <v>9</v>
      </c>
      <c r="E94" s="271" t="s">
        <v>630</v>
      </c>
      <c r="F94" s="271" t="s">
        <v>631</v>
      </c>
      <c r="G94" s="271" t="s">
        <v>630</v>
      </c>
      <c r="H94" s="271" t="s">
        <v>631</v>
      </c>
      <c r="I94" s="271" t="s">
        <v>630</v>
      </c>
      <c r="J94" s="271" t="s">
        <v>631</v>
      </c>
      <c r="K94" s="271">
        <v>5</v>
      </c>
      <c r="L94" s="271" t="s">
        <v>631</v>
      </c>
      <c r="M94" s="271" t="s">
        <v>630</v>
      </c>
      <c r="N94" s="271" t="s">
        <v>631</v>
      </c>
      <c r="O94" s="271" t="s">
        <v>630</v>
      </c>
      <c r="P94" s="271" t="s">
        <v>631</v>
      </c>
      <c r="Q94" s="271" t="s">
        <v>630</v>
      </c>
      <c r="R94" s="271" t="s">
        <v>631</v>
      </c>
      <c r="S94" s="271" t="s">
        <v>630</v>
      </c>
      <c r="T94" s="271" t="s">
        <v>631</v>
      </c>
      <c r="U94" s="271">
        <v>101</v>
      </c>
      <c r="V94" s="271" t="s">
        <v>631</v>
      </c>
      <c r="W94" s="271">
        <v>103</v>
      </c>
      <c r="X94" s="271" t="s">
        <v>631</v>
      </c>
      <c r="Y94" s="271" t="s">
        <v>630</v>
      </c>
      <c r="Z94" s="271" t="s">
        <v>631</v>
      </c>
      <c r="AA94" s="271" t="s">
        <v>630</v>
      </c>
      <c r="AB94" s="271" t="s">
        <v>631</v>
      </c>
      <c r="AC94" s="263"/>
      <c r="AD94" s="263"/>
    </row>
    <row r="95" spans="1:30" x14ac:dyDescent="0.2">
      <c r="A95" s="263"/>
      <c r="B95" s="270" t="s">
        <v>697</v>
      </c>
      <c r="C95" s="271">
        <v>1417</v>
      </c>
      <c r="D95" s="271">
        <v>19</v>
      </c>
      <c r="E95" s="271" t="s">
        <v>630</v>
      </c>
      <c r="F95" s="271" t="s">
        <v>631</v>
      </c>
      <c r="G95" s="271">
        <v>6</v>
      </c>
      <c r="H95" s="271" t="s">
        <v>631</v>
      </c>
      <c r="I95" s="271">
        <v>4</v>
      </c>
      <c r="J95" s="271" t="s">
        <v>631</v>
      </c>
      <c r="K95" s="271">
        <v>27</v>
      </c>
      <c r="L95" s="271" t="s">
        <v>631</v>
      </c>
      <c r="M95" s="271" t="s">
        <v>630</v>
      </c>
      <c r="N95" s="271" t="s">
        <v>631</v>
      </c>
      <c r="O95" s="271">
        <v>84</v>
      </c>
      <c r="P95" s="271" t="s">
        <v>641</v>
      </c>
      <c r="Q95" s="271" t="s">
        <v>630</v>
      </c>
      <c r="R95" s="271" t="s">
        <v>631</v>
      </c>
      <c r="S95" s="271">
        <v>100</v>
      </c>
      <c r="T95" s="271" t="s">
        <v>641</v>
      </c>
      <c r="U95" s="271">
        <v>92</v>
      </c>
      <c r="V95" s="271" t="s">
        <v>631</v>
      </c>
      <c r="W95" s="271">
        <v>78</v>
      </c>
      <c r="X95" s="271" t="s">
        <v>631</v>
      </c>
      <c r="Y95" s="271" t="s">
        <v>630</v>
      </c>
      <c r="Z95" s="271" t="s">
        <v>631</v>
      </c>
      <c r="AA95" s="271">
        <v>6</v>
      </c>
      <c r="AB95" s="271" t="s">
        <v>631</v>
      </c>
      <c r="AC95" s="263"/>
      <c r="AD95" s="263"/>
    </row>
    <row r="96" spans="1:30" x14ac:dyDescent="0.2">
      <c r="A96" s="263"/>
      <c r="B96" s="270" t="s">
        <v>118</v>
      </c>
      <c r="C96" s="271">
        <v>2388</v>
      </c>
      <c r="D96" s="271">
        <v>15</v>
      </c>
      <c r="E96" s="271">
        <v>1</v>
      </c>
      <c r="F96" s="271" t="s">
        <v>631</v>
      </c>
      <c r="G96" s="271">
        <v>5</v>
      </c>
      <c r="H96" s="271" t="s">
        <v>631</v>
      </c>
      <c r="I96" s="271">
        <v>2</v>
      </c>
      <c r="J96" s="271" t="s">
        <v>631</v>
      </c>
      <c r="K96" s="271">
        <v>31</v>
      </c>
      <c r="L96" s="271" t="s">
        <v>631</v>
      </c>
      <c r="M96" s="271">
        <v>14</v>
      </c>
      <c r="N96" s="271" t="s">
        <v>631</v>
      </c>
      <c r="O96" s="271">
        <v>9</v>
      </c>
      <c r="P96" s="271" t="s">
        <v>631</v>
      </c>
      <c r="Q96" s="271">
        <v>99</v>
      </c>
      <c r="R96" s="271" t="s">
        <v>631</v>
      </c>
      <c r="S96" s="271">
        <v>99</v>
      </c>
      <c r="T96" s="271" t="s">
        <v>631</v>
      </c>
      <c r="U96" s="271">
        <v>102</v>
      </c>
      <c r="V96" s="271" t="s">
        <v>631</v>
      </c>
      <c r="W96" s="271">
        <v>87</v>
      </c>
      <c r="X96" s="271" t="s">
        <v>631</v>
      </c>
      <c r="Y96" s="271">
        <v>30</v>
      </c>
      <c r="Z96" s="271" t="s">
        <v>631</v>
      </c>
      <c r="AA96" s="271">
        <v>30</v>
      </c>
      <c r="AB96" s="271" t="s">
        <v>631</v>
      </c>
      <c r="AC96" s="263"/>
      <c r="AD96" s="263"/>
    </row>
    <row r="97" spans="1:30" x14ac:dyDescent="0.2">
      <c r="A97" s="263"/>
      <c r="B97" s="270" t="s">
        <v>698</v>
      </c>
      <c r="C97" s="271">
        <v>9908</v>
      </c>
      <c r="D97" s="271">
        <v>22</v>
      </c>
      <c r="E97" s="271">
        <v>0</v>
      </c>
      <c r="F97" s="271" t="s">
        <v>631</v>
      </c>
      <c r="G97" s="271">
        <v>12</v>
      </c>
      <c r="H97" s="271" t="s">
        <v>631</v>
      </c>
      <c r="I97" s="271">
        <v>26</v>
      </c>
      <c r="J97" s="271" t="s">
        <v>631</v>
      </c>
      <c r="K97" s="271">
        <v>106</v>
      </c>
      <c r="L97" s="271" t="s">
        <v>632</v>
      </c>
      <c r="M97" s="271">
        <v>54</v>
      </c>
      <c r="N97" s="271" t="s">
        <v>631</v>
      </c>
      <c r="O97" s="271">
        <v>57</v>
      </c>
      <c r="P97" s="271" t="s">
        <v>631</v>
      </c>
      <c r="Q97" s="271">
        <v>91</v>
      </c>
      <c r="R97" s="271" t="s">
        <v>631</v>
      </c>
      <c r="S97" s="271">
        <v>81</v>
      </c>
      <c r="T97" s="271" t="s">
        <v>631</v>
      </c>
      <c r="U97" s="271">
        <v>90</v>
      </c>
      <c r="V97" s="271" t="s">
        <v>631</v>
      </c>
      <c r="W97" s="271">
        <v>44</v>
      </c>
      <c r="X97" s="271" t="s">
        <v>631</v>
      </c>
      <c r="Y97" s="271">
        <v>51</v>
      </c>
      <c r="Z97" s="271" t="s">
        <v>631</v>
      </c>
      <c r="AA97" s="271">
        <v>42</v>
      </c>
      <c r="AB97" s="271" t="s">
        <v>631</v>
      </c>
      <c r="AC97" s="263"/>
      <c r="AD97" s="263"/>
    </row>
    <row r="98" spans="1:30" x14ac:dyDescent="0.2">
      <c r="A98" s="263"/>
      <c r="B98" s="270" t="s">
        <v>699</v>
      </c>
      <c r="C98" s="271">
        <v>22</v>
      </c>
      <c r="D98" s="271">
        <v>22</v>
      </c>
      <c r="E98" s="271">
        <v>5</v>
      </c>
      <c r="F98" s="271" t="s">
        <v>631</v>
      </c>
      <c r="G98" s="271">
        <v>16</v>
      </c>
      <c r="H98" s="271" t="s">
        <v>631</v>
      </c>
      <c r="I98" s="271">
        <v>9</v>
      </c>
      <c r="J98" s="271" t="s">
        <v>631</v>
      </c>
      <c r="K98" s="271">
        <v>49</v>
      </c>
      <c r="L98" s="271" t="s">
        <v>631</v>
      </c>
      <c r="M98" s="271">
        <v>65</v>
      </c>
      <c r="N98" s="271" t="s">
        <v>631</v>
      </c>
      <c r="O98" s="271">
        <v>77</v>
      </c>
      <c r="P98" s="271" t="s">
        <v>631</v>
      </c>
      <c r="Q98" s="271">
        <v>58</v>
      </c>
      <c r="R98" s="271" t="s">
        <v>631</v>
      </c>
      <c r="S98" s="271">
        <v>57</v>
      </c>
      <c r="T98" s="271" t="s">
        <v>631</v>
      </c>
      <c r="U98" s="271">
        <v>97</v>
      </c>
      <c r="V98" s="271" t="s">
        <v>631</v>
      </c>
      <c r="W98" s="271">
        <v>72</v>
      </c>
      <c r="X98" s="271" t="s">
        <v>632</v>
      </c>
      <c r="Y98" s="271">
        <v>46</v>
      </c>
      <c r="Z98" s="271" t="s">
        <v>631</v>
      </c>
      <c r="AA98" s="271">
        <v>41</v>
      </c>
      <c r="AB98" s="271" t="s">
        <v>631</v>
      </c>
      <c r="AC98" s="263"/>
      <c r="AD98" s="263"/>
    </row>
    <row r="99" spans="1:30" x14ac:dyDescent="0.2">
      <c r="A99" s="263"/>
      <c r="B99" s="270" t="s">
        <v>700</v>
      </c>
      <c r="C99" s="271">
        <v>474</v>
      </c>
      <c r="D99" s="271">
        <v>14</v>
      </c>
      <c r="E99" s="271" t="s">
        <v>630</v>
      </c>
      <c r="F99" s="271" t="s">
        <v>631</v>
      </c>
      <c r="G99" s="271" t="s">
        <v>630</v>
      </c>
      <c r="H99" s="271" t="s">
        <v>631</v>
      </c>
      <c r="I99" s="271" t="s">
        <v>630</v>
      </c>
      <c r="J99" s="271" t="s">
        <v>631</v>
      </c>
      <c r="K99" s="271">
        <v>9</v>
      </c>
      <c r="L99" s="271" t="s">
        <v>631</v>
      </c>
      <c r="M99" s="271" t="s">
        <v>630</v>
      </c>
      <c r="N99" s="271" t="s">
        <v>631</v>
      </c>
      <c r="O99" s="271" t="s">
        <v>630</v>
      </c>
      <c r="P99" s="271" t="s">
        <v>631</v>
      </c>
      <c r="Q99" s="271" t="s">
        <v>630</v>
      </c>
      <c r="R99" s="271" t="s">
        <v>631</v>
      </c>
      <c r="S99" s="271" t="s">
        <v>630</v>
      </c>
      <c r="T99" s="271" t="s">
        <v>631</v>
      </c>
      <c r="U99" s="271" t="s">
        <v>630</v>
      </c>
      <c r="V99" s="271" t="s">
        <v>631</v>
      </c>
      <c r="W99" s="271" t="s">
        <v>630</v>
      </c>
      <c r="X99" s="271" t="s">
        <v>631</v>
      </c>
      <c r="Y99" s="271" t="s">
        <v>630</v>
      </c>
      <c r="Z99" s="271" t="s">
        <v>631</v>
      </c>
      <c r="AA99" s="271" t="s">
        <v>630</v>
      </c>
      <c r="AB99" s="271" t="s">
        <v>631</v>
      </c>
      <c r="AC99" s="263"/>
      <c r="AD99" s="263"/>
    </row>
    <row r="100" spans="1:30" x14ac:dyDescent="0.2">
      <c r="A100" s="263"/>
      <c r="B100" s="270" t="s">
        <v>22</v>
      </c>
      <c r="C100" s="271">
        <v>1015</v>
      </c>
      <c r="D100" s="271">
        <v>18</v>
      </c>
      <c r="E100" s="271">
        <v>1</v>
      </c>
      <c r="F100" s="271" t="s">
        <v>631</v>
      </c>
      <c r="G100" s="271">
        <v>10</v>
      </c>
      <c r="H100" s="271" t="s">
        <v>631</v>
      </c>
      <c r="I100" s="271">
        <v>2</v>
      </c>
      <c r="J100" s="271" t="s">
        <v>631</v>
      </c>
      <c r="K100" s="271">
        <v>41</v>
      </c>
      <c r="L100" s="271" t="s">
        <v>631</v>
      </c>
      <c r="M100" s="271">
        <v>40</v>
      </c>
      <c r="N100" s="271" t="s">
        <v>631</v>
      </c>
      <c r="O100" s="271">
        <v>25</v>
      </c>
      <c r="P100" s="271" t="s">
        <v>631</v>
      </c>
      <c r="Q100" s="271">
        <v>98</v>
      </c>
      <c r="R100" s="271" t="s">
        <v>631</v>
      </c>
      <c r="S100" s="271">
        <v>96</v>
      </c>
      <c r="T100" s="271" t="s">
        <v>631</v>
      </c>
      <c r="U100" s="271">
        <v>93</v>
      </c>
      <c r="V100" s="271" t="s">
        <v>631</v>
      </c>
      <c r="W100" s="271">
        <v>78</v>
      </c>
      <c r="X100" s="271" t="s">
        <v>631</v>
      </c>
      <c r="Y100" s="271">
        <v>18</v>
      </c>
      <c r="Z100" s="271" t="s">
        <v>631</v>
      </c>
      <c r="AA100" s="271">
        <v>14</v>
      </c>
      <c r="AB100" s="271" t="s">
        <v>631</v>
      </c>
      <c r="AC100" s="263"/>
      <c r="AD100" s="263"/>
    </row>
    <row r="101" spans="1:30" x14ac:dyDescent="0.2">
      <c r="A101" s="263"/>
      <c r="B101" s="270" t="s">
        <v>701</v>
      </c>
      <c r="C101" s="271">
        <v>1532</v>
      </c>
      <c r="D101" s="271">
        <v>23</v>
      </c>
      <c r="E101" s="271">
        <v>9</v>
      </c>
      <c r="F101" s="271" t="s">
        <v>631</v>
      </c>
      <c r="G101" s="271">
        <v>25</v>
      </c>
      <c r="H101" s="271" t="s">
        <v>631</v>
      </c>
      <c r="I101" s="271">
        <v>18</v>
      </c>
      <c r="J101" s="271" t="s">
        <v>631</v>
      </c>
      <c r="K101" s="271">
        <v>94</v>
      </c>
      <c r="L101" s="271" t="s">
        <v>631</v>
      </c>
      <c r="M101" s="271">
        <v>50</v>
      </c>
      <c r="N101" s="271" t="s">
        <v>631</v>
      </c>
      <c r="O101" s="271">
        <v>56</v>
      </c>
      <c r="P101" s="271" t="s">
        <v>631</v>
      </c>
      <c r="Q101" s="271">
        <v>92</v>
      </c>
      <c r="R101" s="271" t="s">
        <v>631</v>
      </c>
      <c r="S101" s="271">
        <v>93</v>
      </c>
      <c r="T101" s="271" t="s">
        <v>631</v>
      </c>
      <c r="U101" s="271">
        <v>58</v>
      </c>
      <c r="V101" s="271" t="s">
        <v>631</v>
      </c>
      <c r="W101" s="271">
        <v>32</v>
      </c>
      <c r="X101" s="271" t="s">
        <v>631</v>
      </c>
      <c r="Y101" s="271">
        <v>25</v>
      </c>
      <c r="Z101" s="271" t="s">
        <v>631</v>
      </c>
      <c r="AA101" s="271">
        <v>23</v>
      </c>
      <c r="AB101" s="271" t="s">
        <v>631</v>
      </c>
      <c r="AC101" s="263"/>
      <c r="AD101" s="263"/>
    </row>
    <row r="102" spans="1:30" x14ac:dyDescent="0.2">
      <c r="A102" s="263"/>
      <c r="B102" s="270" t="s">
        <v>119</v>
      </c>
      <c r="C102" s="271">
        <v>192</v>
      </c>
      <c r="D102" s="271">
        <v>9</v>
      </c>
      <c r="E102" s="271" t="s">
        <v>630</v>
      </c>
      <c r="F102" s="271" t="s">
        <v>631</v>
      </c>
      <c r="G102" s="271" t="s">
        <v>630</v>
      </c>
      <c r="H102" s="271" t="s">
        <v>631</v>
      </c>
      <c r="I102" s="271" t="s">
        <v>630</v>
      </c>
      <c r="J102" s="271" t="s">
        <v>631</v>
      </c>
      <c r="K102" s="271">
        <v>19</v>
      </c>
      <c r="L102" s="271" t="s">
        <v>631</v>
      </c>
      <c r="M102" s="271" t="s">
        <v>630</v>
      </c>
      <c r="N102" s="271" t="s">
        <v>631</v>
      </c>
      <c r="O102" s="271" t="s">
        <v>630</v>
      </c>
      <c r="P102" s="271" t="s">
        <v>631</v>
      </c>
      <c r="Q102" s="271" t="s">
        <v>630</v>
      </c>
      <c r="R102" s="271" t="s">
        <v>631</v>
      </c>
      <c r="S102" s="271" t="s">
        <v>630</v>
      </c>
      <c r="T102" s="271" t="s">
        <v>631</v>
      </c>
      <c r="U102" s="271">
        <v>99</v>
      </c>
      <c r="V102" s="271" t="s">
        <v>631</v>
      </c>
      <c r="W102" s="271">
        <v>97</v>
      </c>
      <c r="X102" s="271" t="s">
        <v>631</v>
      </c>
      <c r="Y102" s="271" t="s">
        <v>630</v>
      </c>
      <c r="Z102" s="271" t="s">
        <v>631</v>
      </c>
      <c r="AA102" s="271" t="s">
        <v>630</v>
      </c>
      <c r="AB102" s="271" t="s">
        <v>631</v>
      </c>
      <c r="AC102" s="263"/>
      <c r="AD102" s="263"/>
    </row>
    <row r="103" spans="1:30" x14ac:dyDescent="0.2">
      <c r="A103" s="263"/>
      <c r="B103" s="270" t="s">
        <v>702</v>
      </c>
      <c r="C103" s="271">
        <v>854</v>
      </c>
      <c r="D103" s="271">
        <v>18</v>
      </c>
      <c r="E103" s="271" t="s">
        <v>630</v>
      </c>
      <c r="F103" s="271" t="s">
        <v>631</v>
      </c>
      <c r="G103" s="271">
        <v>3</v>
      </c>
      <c r="H103" s="271" t="s">
        <v>631</v>
      </c>
      <c r="I103" s="271" t="s">
        <v>630</v>
      </c>
      <c r="J103" s="271" t="s">
        <v>631</v>
      </c>
      <c r="K103" s="271">
        <v>18</v>
      </c>
      <c r="L103" s="271" t="s">
        <v>632</v>
      </c>
      <c r="M103" s="271" t="s">
        <v>630</v>
      </c>
      <c r="N103" s="271" t="s">
        <v>631</v>
      </c>
      <c r="O103" s="271">
        <v>22</v>
      </c>
      <c r="P103" s="271" t="s">
        <v>641</v>
      </c>
      <c r="Q103" s="271" t="s">
        <v>630</v>
      </c>
      <c r="R103" s="271" t="s">
        <v>631</v>
      </c>
      <c r="S103" s="271" t="s">
        <v>630</v>
      </c>
      <c r="T103" s="271" t="s">
        <v>631</v>
      </c>
      <c r="U103" s="271">
        <v>86</v>
      </c>
      <c r="V103" s="271" t="s">
        <v>631</v>
      </c>
      <c r="W103" s="271">
        <v>63</v>
      </c>
      <c r="X103" s="271" t="s">
        <v>631</v>
      </c>
      <c r="Y103" s="271" t="s">
        <v>630</v>
      </c>
      <c r="Z103" s="271" t="s">
        <v>631</v>
      </c>
      <c r="AA103" s="271" t="s">
        <v>630</v>
      </c>
      <c r="AB103" s="271" t="s">
        <v>631</v>
      </c>
      <c r="AC103" s="263"/>
      <c r="AD103" s="263"/>
    </row>
    <row r="104" spans="1:30" x14ac:dyDescent="0.2">
      <c r="A104" s="263"/>
      <c r="B104" s="270" t="s">
        <v>703</v>
      </c>
      <c r="C104" s="271">
        <v>497</v>
      </c>
      <c r="D104" s="271">
        <v>24</v>
      </c>
      <c r="E104" s="271">
        <v>1</v>
      </c>
      <c r="F104" s="271" t="s">
        <v>631</v>
      </c>
      <c r="G104" s="271">
        <v>16</v>
      </c>
      <c r="H104" s="271" t="s">
        <v>631</v>
      </c>
      <c r="I104" s="271">
        <v>13</v>
      </c>
      <c r="J104" s="271" t="s">
        <v>631</v>
      </c>
      <c r="K104" s="271">
        <v>92</v>
      </c>
      <c r="L104" s="271" t="s">
        <v>632</v>
      </c>
      <c r="M104" s="271">
        <v>54</v>
      </c>
      <c r="N104" s="271" t="s">
        <v>631</v>
      </c>
      <c r="O104" s="271">
        <v>48</v>
      </c>
      <c r="P104" s="271" t="s">
        <v>631</v>
      </c>
      <c r="Q104" s="271">
        <v>64</v>
      </c>
      <c r="R104" s="271" t="s">
        <v>631</v>
      </c>
      <c r="S104" s="271">
        <v>69</v>
      </c>
      <c r="T104" s="271" t="s">
        <v>631</v>
      </c>
      <c r="U104" s="271">
        <v>62</v>
      </c>
      <c r="V104" s="271" t="s">
        <v>631</v>
      </c>
      <c r="W104" s="271">
        <v>39</v>
      </c>
      <c r="X104" s="271" t="s">
        <v>631</v>
      </c>
      <c r="Y104" s="271">
        <v>28</v>
      </c>
      <c r="Z104" s="271" t="s">
        <v>631</v>
      </c>
      <c r="AA104" s="271">
        <v>35</v>
      </c>
      <c r="AB104" s="271" t="s">
        <v>631</v>
      </c>
      <c r="AC104" s="263"/>
      <c r="AD104" s="263"/>
    </row>
    <row r="105" spans="1:30" x14ac:dyDescent="0.2">
      <c r="A105" s="263"/>
      <c r="B105" s="270" t="s">
        <v>704</v>
      </c>
      <c r="C105" s="271">
        <v>981</v>
      </c>
      <c r="D105" s="271">
        <v>23</v>
      </c>
      <c r="E105" s="271">
        <v>3</v>
      </c>
      <c r="F105" s="271" t="s">
        <v>631</v>
      </c>
      <c r="G105" s="271">
        <v>19</v>
      </c>
      <c r="H105" s="271" t="s">
        <v>631</v>
      </c>
      <c r="I105" s="271">
        <v>38</v>
      </c>
      <c r="J105" s="271" t="s">
        <v>631</v>
      </c>
      <c r="K105" s="271">
        <v>149</v>
      </c>
      <c r="L105" s="271" t="s">
        <v>631</v>
      </c>
      <c r="M105" s="271">
        <v>37</v>
      </c>
      <c r="N105" s="271" t="s">
        <v>631</v>
      </c>
      <c r="O105" s="271">
        <v>48</v>
      </c>
      <c r="P105" s="271" t="s">
        <v>631</v>
      </c>
      <c r="Q105" s="271">
        <v>73</v>
      </c>
      <c r="R105" s="271" t="s">
        <v>631</v>
      </c>
      <c r="S105" s="271">
        <v>63</v>
      </c>
      <c r="T105" s="271" t="s">
        <v>631</v>
      </c>
      <c r="U105" s="271">
        <v>49</v>
      </c>
      <c r="V105" s="271" t="s">
        <v>631</v>
      </c>
      <c r="W105" s="271">
        <v>40</v>
      </c>
      <c r="X105" s="271" t="s">
        <v>631</v>
      </c>
      <c r="Y105" s="271">
        <v>21</v>
      </c>
      <c r="Z105" s="271" t="s">
        <v>632</v>
      </c>
      <c r="AA105" s="271">
        <v>18</v>
      </c>
      <c r="AB105" s="271" t="s">
        <v>632</v>
      </c>
      <c r="AC105" s="263"/>
      <c r="AD105" s="263"/>
    </row>
    <row r="106" spans="1:30" x14ac:dyDescent="0.2">
      <c r="A106" s="263"/>
      <c r="B106" s="270" t="s">
        <v>705</v>
      </c>
      <c r="C106" s="271">
        <v>1096</v>
      </c>
      <c r="D106" s="271">
        <v>18</v>
      </c>
      <c r="E106" s="271" t="s">
        <v>630</v>
      </c>
      <c r="F106" s="271" t="s">
        <v>631</v>
      </c>
      <c r="G106" s="271" t="s">
        <v>630</v>
      </c>
      <c r="H106" s="271" t="s">
        <v>631</v>
      </c>
      <c r="I106" s="271" t="s">
        <v>630</v>
      </c>
      <c r="J106" s="271" t="s">
        <v>631</v>
      </c>
      <c r="K106" s="271">
        <v>4</v>
      </c>
      <c r="L106" s="271" t="s">
        <v>632</v>
      </c>
      <c r="M106" s="271" t="s">
        <v>630</v>
      </c>
      <c r="N106" s="271" t="s">
        <v>631</v>
      </c>
      <c r="O106" s="271" t="s">
        <v>630</v>
      </c>
      <c r="P106" s="271" t="s">
        <v>631</v>
      </c>
      <c r="Q106" s="271" t="s">
        <v>630</v>
      </c>
      <c r="R106" s="271" t="s">
        <v>631</v>
      </c>
      <c r="S106" s="271" t="s">
        <v>630</v>
      </c>
      <c r="T106" s="271" t="s">
        <v>631</v>
      </c>
      <c r="U106" s="271" t="s">
        <v>630</v>
      </c>
      <c r="V106" s="271" t="s">
        <v>631</v>
      </c>
      <c r="W106" s="271" t="s">
        <v>630</v>
      </c>
      <c r="X106" s="271" t="s">
        <v>631</v>
      </c>
      <c r="Y106" s="271" t="s">
        <v>630</v>
      </c>
      <c r="Z106" s="271" t="s">
        <v>631</v>
      </c>
      <c r="AA106" s="271" t="s">
        <v>630</v>
      </c>
      <c r="AB106" s="271" t="s">
        <v>631</v>
      </c>
      <c r="AC106" s="263"/>
      <c r="AD106" s="263"/>
    </row>
    <row r="107" spans="1:30" x14ac:dyDescent="0.2">
      <c r="A107" s="263"/>
      <c r="B107" s="270" t="s">
        <v>447</v>
      </c>
      <c r="C107" s="271" t="s">
        <v>630</v>
      </c>
      <c r="D107" s="271" t="s">
        <v>630</v>
      </c>
      <c r="E107" s="271" t="s">
        <v>630</v>
      </c>
      <c r="F107" s="271" t="s">
        <v>631</v>
      </c>
      <c r="G107" s="271" t="s">
        <v>630</v>
      </c>
      <c r="H107" s="271" t="s">
        <v>631</v>
      </c>
      <c r="I107" s="271" t="s">
        <v>630</v>
      </c>
      <c r="J107" s="271" t="s">
        <v>631</v>
      </c>
      <c r="K107" s="271">
        <v>4</v>
      </c>
      <c r="L107" s="271" t="s">
        <v>632</v>
      </c>
      <c r="M107" s="271" t="s">
        <v>630</v>
      </c>
      <c r="N107" s="271" t="s">
        <v>631</v>
      </c>
      <c r="O107" s="271" t="s">
        <v>630</v>
      </c>
      <c r="P107" s="271" t="s">
        <v>631</v>
      </c>
      <c r="Q107" s="271" t="s">
        <v>630</v>
      </c>
      <c r="R107" s="271" t="s">
        <v>631</v>
      </c>
      <c r="S107" s="271" t="s">
        <v>630</v>
      </c>
      <c r="T107" s="271" t="s">
        <v>631</v>
      </c>
      <c r="U107" s="271">
        <v>103</v>
      </c>
      <c r="V107" s="271" t="s">
        <v>631</v>
      </c>
      <c r="W107" s="271">
        <v>124</v>
      </c>
      <c r="X107" s="271" t="s">
        <v>631</v>
      </c>
      <c r="Y107" s="271" t="s">
        <v>630</v>
      </c>
      <c r="Z107" s="271" t="s">
        <v>631</v>
      </c>
      <c r="AA107" s="271" t="s">
        <v>630</v>
      </c>
      <c r="AB107" s="271" t="s">
        <v>631</v>
      </c>
      <c r="AC107" s="263"/>
      <c r="AD107" s="263"/>
    </row>
    <row r="108" spans="1:30" x14ac:dyDescent="0.2">
      <c r="A108" s="263"/>
      <c r="B108" s="270" t="s">
        <v>120</v>
      </c>
      <c r="C108" s="271">
        <v>328</v>
      </c>
      <c r="D108" s="271">
        <v>11</v>
      </c>
      <c r="E108" s="271" t="s">
        <v>630</v>
      </c>
      <c r="F108" s="271" t="s">
        <v>631</v>
      </c>
      <c r="G108" s="271" t="s">
        <v>630</v>
      </c>
      <c r="H108" s="271" t="s">
        <v>631</v>
      </c>
      <c r="I108" s="271" t="s">
        <v>630</v>
      </c>
      <c r="J108" s="271" t="s">
        <v>631</v>
      </c>
      <c r="K108" s="271">
        <v>15</v>
      </c>
      <c r="L108" s="271" t="s">
        <v>631</v>
      </c>
      <c r="M108" s="271" t="s">
        <v>630</v>
      </c>
      <c r="N108" s="271" t="s">
        <v>631</v>
      </c>
      <c r="O108" s="271" t="s">
        <v>630</v>
      </c>
      <c r="P108" s="271" t="s">
        <v>631</v>
      </c>
      <c r="Q108" s="271" t="s">
        <v>630</v>
      </c>
      <c r="R108" s="271" t="s">
        <v>631</v>
      </c>
      <c r="S108" s="271" t="s">
        <v>630</v>
      </c>
      <c r="T108" s="271" t="s">
        <v>631</v>
      </c>
      <c r="U108" s="271">
        <v>104</v>
      </c>
      <c r="V108" s="271" t="s">
        <v>631</v>
      </c>
      <c r="W108" s="271">
        <v>112</v>
      </c>
      <c r="X108" s="271" t="s">
        <v>631</v>
      </c>
      <c r="Y108" s="271" t="s">
        <v>630</v>
      </c>
      <c r="Z108" s="271" t="s">
        <v>631</v>
      </c>
      <c r="AA108" s="271" t="s">
        <v>630</v>
      </c>
      <c r="AB108" s="271" t="s">
        <v>631</v>
      </c>
      <c r="AC108" s="263"/>
      <c r="AD108" s="263"/>
    </row>
    <row r="109" spans="1:30" x14ac:dyDescent="0.2">
      <c r="A109" s="263"/>
      <c r="B109" s="270" t="s">
        <v>121</v>
      </c>
      <c r="C109" s="271">
        <v>65</v>
      </c>
      <c r="D109" s="271">
        <v>12</v>
      </c>
      <c r="E109" s="271" t="s">
        <v>630</v>
      </c>
      <c r="F109" s="271" t="s">
        <v>631</v>
      </c>
      <c r="G109" s="271" t="s">
        <v>630</v>
      </c>
      <c r="H109" s="271" t="s">
        <v>631</v>
      </c>
      <c r="I109" s="271" t="s">
        <v>630</v>
      </c>
      <c r="J109" s="271" t="s">
        <v>631</v>
      </c>
      <c r="K109" s="271">
        <v>7</v>
      </c>
      <c r="L109" s="271" t="s">
        <v>631</v>
      </c>
      <c r="M109" s="271" t="s">
        <v>630</v>
      </c>
      <c r="N109" s="271" t="s">
        <v>631</v>
      </c>
      <c r="O109" s="271" t="s">
        <v>630</v>
      </c>
      <c r="P109" s="271" t="s">
        <v>631</v>
      </c>
      <c r="Q109" s="271" t="s">
        <v>630</v>
      </c>
      <c r="R109" s="271" t="s">
        <v>631</v>
      </c>
      <c r="S109" s="271" t="s">
        <v>630</v>
      </c>
      <c r="T109" s="271" t="s">
        <v>631</v>
      </c>
      <c r="U109" s="271">
        <v>114</v>
      </c>
      <c r="V109" s="271" t="s">
        <v>631</v>
      </c>
      <c r="W109" s="271">
        <v>91</v>
      </c>
      <c r="X109" s="271" t="s">
        <v>631</v>
      </c>
      <c r="Y109" s="271" t="s">
        <v>630</v>
      </c>
      <c r="Z109" s="271" t="s">
        <v>631</v>
      </c>
      <c r="AA109" s="271" t="s">
        <v>630</v>
      </c>
      <c r="AB109" s="271" t="s">
        <v>631</v>
      </c>
      <c r="AC109" s="263"/>
      <c r="AD109" s="263"/>
    </row>
    <row r="110" spans="1:30" x14ac:dyDescent="0.2">
      <c r="A110" s="263"/>
      <c r="B110" s="270" t="s">
        <v>706</v>
      </c>
      <c r="C110" s="271">
        <v>5457</v>
      </c>
      <c r="D110" s="271">
        <v>24</v>
      </c>
      <c r="E110" s="271">
        <v>7</v>
      </c>
      <c r="F110" s="271" t="s">
        <v>631</v>
      </c>
      <c r="G110" s="271">
        <v>28</v>
      </c>
      <c r="H110" s="271" t="s">
        <v>631</v>
      </c>
      <c r="I110" s="271">
        <v>36</v>
      </c>
      <c r="J110" s="271" t="s">
        <v>631</v>
      </c>
      <c r="K110" s="271">
        <v>147</v>
      </c>
      <c r="L110" s="271" t="s">
        <v>632</v>
      </c>
      <c r="M110" s="271">
        <v>44</v>
      </c>
      <c r="N110" s="271" t="s">
        <v>631</v>
      </c>
      <c r="O110" s="271">
        <v>47</v>
      </c>
      <c r="P110" s="271" t="s">
        <v>631</v>
      </c>
      <c r="Q110" s="271">
        <v>62</v>
      </c>
      <c r="R110" s="271" t="s">
        <v>631</v>
      </c>
      <c r="S110" s="271">
        <v>59</v>
      </c>
      <c r="T110" s="271" t="s">
        <v>631</v>
      </c>
      <c r="U110" s="271">
        <v>51</v>
      </c>
      <c r="V110" s="271" t="s">
        <v>631</v>
      </c>
      <c r="W110" s="271">
        <v>19</v>
      </c>
      <c r="X110" s="271" t="s">
        <v>631</v>
      </c>
      <c r="Y110" s="271">
        <v>24</v>
      </c>
      <c r="Z110" s="271" t="s">
        <v>631</v>
      </c>
      <c r="AA110" s="271">
        <v>21</v>
      </c>
      <c r="AB110" s="271" t="s">
        <v>631</v>
      </c>
      <c r="AC110" s="263"/>
      <c r="AD110" s="263"/>
    </row>
    <row r="111" spans="1:30" x14ac:dyDescent="0.2">
      <c r="A111" s="263"/>
      <c r="B111" s="270" t="s">
        <v>707</v>
      </c>
      <c r="C111" s="271">
        <v>3893</v>
      </c>
      <c r="D111" s="271">
        <v>24</v>
      </c>
      <c r="E111" s="271">
        <v>2</v>
      </c>
      <c r="F111" s="271" t="s">
        <v>631</v>
      </c>
      <c r="G111" s="271">
        <v>23</v>
      </c>
      <c r="H111" s="271" t="s">
        <v>631</v>
      </c>
      <c r="I111" s="271">
        <v>35</v>
      </c>
      <c r="J111" s="271" t="s">
        <v>631</v>
      </c>
      <c r="K111" s="271">
        <v>157</v>
      </c>
      <c r="L111" s="271" t="s">
        <v>631</v>
      </c>
      <c r="M111" s="271">
        <v>21</v>
      </c>
      <c r="N111" s="271" t="s">
        <v>631</v>
      </c>
      <c r="O111" s="271">
        <v>16</v>
      </c>
      <c r="P111" s="271" t="s">
        <v>631</v>
      </c>
      <c r="Q111" s="271">
        <v>82</v>
      </c>
      <c r="R111" s="271" t="s">
        <v>631</v>
      </c>
      <c r="S111" s="271">
        <v>65</v>
      </c>
      <c r="T111" s="271" t="s">
        <v>631</v>
      </c>
      <c r="U111" s="271">
        <v>42</v>
      </c>
      <c r="V111" s="271" t="s">
        <v>631</v>
      </c>
      <c r="W111" s="271">
        <v>17</v>
      </c>
      <c r="X111" s="271" t="s">
        <v>631</v>
      </c>
      <c r="Y111" s="271">
        <v>45</v>
      </c>
      <c r="Z111" s="271" t="s">
        <v>631</v>
      </c>
      <c r="AA111" s="271">
        <v>40</v>
      </c>
      <c r="AB111" s="271" t="s">
        <v>631</v>
      </c>
      <c r="AC111" s="263"/>
      <c r="AD111" s="263"/>
    </row>
    <row r="112" spans="1:30" x14ac:dyDescent="0.2">
      <c r="A112" s="263"/>
      <c r="B112" s="270" t="s">
        <v>708</v>
      </c>
      <c r="C112" s="271">
        <v>5533</v>
      </c>
      <c r="D112" s="271">
        <v>19</v>
      </c>
      <c r="E112" s="271">
        <v>5</v>
      </c>
      <c r="F112" s="271" t="s">
        <v>631</v>
      </c>
      <c r="G112" s="271">
        <v>6</v>
      </c>
      <c r="H112" s="271" t="s">
        <v>631</v>
      </c>
      <c r="I112" s="271" t="s">
        <v>630</v>
      </c>
      <c r="J112" s="271" t="s">
        <v>631</v>
      </c>
      <c r="K112" s="271">
        <v>13</v>
      </c>
      <c r="L112" s="271" t="s">
        <v>631</v>
      </c>
      <c r="M112" s="271" t="s">
        <v>630</v>
      </c>
      <c r="N112" s="271" t="s">
        <v>631</v>
      </c>
      <c r="O112" s="271" t="s">
        <v>630</v>
      </c>
      <c r="P112" s="271" t="s">
        <v>631</v>
      </c>
      <c r="Q112" s="271" t="s">
        <v>630</v>
      </c>
      <c r="R112" s="271" t="s">
        <v>631</v>
      </c>
      <c r="S112" s="271" t="s">
        <v>630</v>
      </c>
      <c r="T112" s="271" t="s">
        <v>631</v>
      </c>
      <c r="U112" s="271">
        <v>92</v>
      </c>
      <c r="V112" s="271" t="s">
        <v>631</v>
      </c>
      <c r="W112" s="271">
        <v>49</v>
      </c>
      <c r="X112" s="271" t="s">
        <v>631</v>
      </c>
      <c r="Y112" s="271" t="s">
        <v>630</v>
      </c>
      <c r="Z112" s="271" t="s">
        <v>631</v>
      </c>
      <c r="AA112" s="271" t="s">
        <v>630</v>
      </c>
      <c r="AB112" s="271" t="s">
        <v>631</v>
      </c>
      <c r="AC112" s="263"/>
      <c r="AD112" s="263"/>
    </row>
    <row r="113" spans="1:30" x14ac:dyDescent="0.2">
      <c r="A113" s="263"/>
      <c r="B113" s="270" t="s">
        <v>709</v>
      </c>
      <c r="C113" s="271">
        <v>66</v>
      </c>
      <c r="D113" s="271">
        <v>19</v>
      </c>
      <c r="E113" s="271" t="s">
        <v>630</v>
      </c>
      <c r="F113" s="271" t="s">
        <v>631</v>
      </c>
      <c r="G113" s="271">
        <v>5</v>
      </c>
      <c r="H113" s="271" t="s">
        <v>631</v>
      </c>
      <c r="I113" s="271">
        <v>1</v>
      </c>
      <c r="J113" s="271" t="s">
        <v>631</v>
      </c>
      <c r="K113" s="271">
        <v>16</v>
      </c>
      <c r="L113" s="271" t="s">
        <v>631</v>
      </c>
      <c r="M113" s="271" t="s">
        <v>630</v>
      </c>
      <c r="N113" s="271" t="s">
        <v>631</v>
      </c>
      <c r="O113" s="271">
        <v>41</v>
      </c>
      <c r="P113" s="271" t="s">
        <v>641</v>
      </c>
      <c r="Q113" s="271" t="s">
        <v>630</v>
      </c>
      <c r="R113" s="271" t="s">
        <v>631</v>
      </c>
      <c r="S113" s="271">
        <v>100</v>
      </c>
      <c r="T113" s="271" t="s">
        <v>631</v>
      </c>
      <c r="U113" s="271">
        <v>104</v>
      </c>
      <c r="V113" s="271" t="s">
        <v>631</v>
      </c>
      <c r="W113" s="271" t="s">
        <v>630</v>
      </c>
      <c r="X113" s="271" t="s">
        <v>631</v>
      </c>
      <c r="Y113" s="271" t="s">
        <v>630</v>
      </c>
      <c r="Z113" s="271" t="s">
        <v>631</v>
      </c>
      <c r="AA113" s="271">
        <v>22</v>
      </c>
      <c r="AB113" s="271" t="s">
        <v>641</v>
      </c>
      <c r="AC113" s="263"/>
      <c r="AD113" s="263"/>
    </row>
    <row r="114" spans="1:30" x14ac:dyDescent="0.2">
      <c r="A114" s="263"/>
      <c r="B114" s="270" t="s">
        <v>710</v>
      </c>
      <c r="C114" s="271">
        <v>3531</v>
      </c>
      <c r="D114" s="271">
        <v>23</v>
      </c>
      <c r="E114" s="271" t="s">
        <v>630</v>
      </c>
      <c r="F114" s="271" t="s">
        <v>631</v>
      </c>
      <c r="G114" s="271">
        <v>40</v>
      </c>
      <c r="H114" s="271" t="s">
        <v>631</v>
      </c>
      <c r="I114" s="271">
        <v>46</v>
      </c>
      <c r="J114" s="271" t="s">
        <v>632</v>
      </c>
      <c r="K114" s="271">
        <v>172</v>
      </c>
      <c r="L114" s="271" t="s">
        <v>631</v>
      </c>
      <c r="M114" s="271" t="s">
        <v>630</v>
      </c>
      <c r="N114" s="271" t="s">
        <v>631</v>
      </c>
      <c r="O114" s="271">
        <v>83</v>
      </c>
      <c r="P114" s="271" t="s">
        <v>631</v>
      </c>
      <c r="Q114" s="271">
        <v>81</v>
      </c>
      <c r="R114" s="271" t="s">
        <v>631</v>
      </c>
      <c r="S114" s="271">
        <v>79</v>
      </c>
      <c r="T114" s="271" t="s">
        <v>631</v>
      </c>
      <c r="U114" s="271">
        <v>60</v>
      </c>
      <c r="V114" s="271" t="s">
        <v>631</v>
      </c>
      <c r="W114" s="271">
        <v>27</v>
      </c>
      <c r="X114" s="271" t="s">
        <v>631</v>
      </c>
      <c r="Y114" s="271" t="s">
        <v>630</v>
      </c>
      <c r="Z114" s="271" t="s">
        <v>631</v>
      </c>
      <c r="AA114" s="271">
        <v>14</v>
      </c>
      <c r="AB114" s="271" t="s">
        <v>631</v>
      </c>
      <c r="AC114" s="263"/>
      <c r="AD114" s="263"/>
    </row>
    <row r="115" spans="1:30" x14ac:dyDescent="0.2">
      <c r="A115" s="263"/>
      <c r="B115" s="270" t="s">
        <v>122</v>
      </c>
      <c r="C115" s="271">
        <v>49</v>
      </c>
      <c r="D115" s="271">
        <v>11</v>
      </c>
      <c r="E115" s="271" t="s">
        <v>630</v>
      </c>
      <c r="F115" s="271" t="s">
        <v>631</v>
      </c>
      <c r="G115" s="271" t="s">
        <v>630</v>
      </c>
      <c r="H115" s="271" t="s">
        <v>631</v>
      </c>
      <c r="I115" s="271" t="s">
        <v>630</v>
      </c>
      <c r="J115" s="271" t="s">
        <v>631</v>
      </c>
      <c r="K115" s="271">
        <v>17</v>
      </c>
      <c r="L115" s="271" t="s">
        <v>631</v>
      </c>
      <c r="M115" s="271" t="s">
        <v>630</v>
      </c>
      <c r="N115" s="271" t="s">
        <v>631</v>
      </c>
      <c r="O115" s="271" t="s">
        <v>630</v>
      </c>
      <c r="P115" s="271" t="s">
        <v>631</v>
      </c>
      <c r="Q115" s="271" t="s">
        <v>630</v>
      </c>
      <c r="R115" s="271" t="s">
        <v>631</v>
      </c>
      <c r="S115" s="271" t="s">
        <v>630</v>
      </c>
      <c r="T115" s="271" t="s">
        <v>631</v>
      </c>
      <c r="U115" s="271">
        <v>94</v>
      </c>
      <c r="V115" s="271" t="s">
        <v>631</v>
      </c>
      <c r="W115" s="271">
        <v>81</v>
      </c>
      <c r="X115" s="271" t="s">
        <v>631</v>
      </c>
      <c r="Y115" s="271" t="s">
        <v>630</v>
      </c>
      <c r="Z115" s="271" t="s">
        <v>631</v>
      </c>
      <c r="AA115" s="271" t="s">
        <v>630</v>
      </c>
      <c r="AB115" s="271" t="s">
        <v>631</v>
      </c>
      <c r="AC115" s="263"/>
      <c r="AD115" s="263"/>
    </row>
    <row r="116" spans="1:30" x14ac:dyDescent="0.2">
      <c r="A116" s="263"/>
      <c r="B116" s="270" t="s">
        <v>711</v>
      </c>
      <c r="C116" s="271" t="s">
        <v>630</v>
      </c>
      <c r="D116" s="271" t="s">
        <v>630</v>
      </c>
      <c r="E116" s="271">
        <v>5</v>
      </c>
      <c r="F116" s="271" t="s">
        <v>631</v>
      </c>
      <c r="G116" s="271">
        <v>21</v>
      </c>
      <c r="H116" s="271" t="s">
        <v>631</v>
      </c>
      <c r="I116" s="271">
        <v>21</v>
      </c>
      <c r="J116" s="271" t="s">
        <v>632</v>
      </c>
      <c r="K116" s="271">
        <v>85</v>
      </c>
      <c r="L116" s="271" t="s">
        <v>631</v>
      </c>
      <c r="M116" s="271">
        <v>71</v>
      </c>
      <c r="N116" s="271" t="s">
        <v>631</v>
      </c>
      <c r="O116" s="271">
        <v>47</v>
      </c>
      <c r="P116" s="271" t="s">
        <v>631</v>
      </c>
      <c r="Q116" s="271">
        <v>86</v>
      </c>
      <c r="R116" s="271" t="s">
        <v>631</v>
      </c>
      <c r="S116" s="271">
        <v>85</v>
      </c>
      <c r="T116" s="271" t="s">
        <v>631</v>
      </c>
      <c r="U116" s="271">
        <v>125</v>
      </c>
      <c r="V116" s="271" t="s">
        <v>631</v>
      </c>
      <c r="W116" s="271">
        <v>97</v>
      </c>
      <c r="X116" s="271" t="s">
        <v>631</v>
      </c>
      <c r="Y116" s="271">
        <v>35</v>
      </c>
      <c r="Z116" s="271" t="s">
        <v>632</v>
      </c>
      <c r="AA116" s="271">
        <v>27</v>
      </c>
      <c r="AB116" s="271" t="s">
        <v>632</v>
      </c>
      <c r="AC116" s="263"/>
      <c r="AD116" s="263"/>
    </row>
    <row r="117" spans="1:30" x14ac:dyDescent="0.2">
      <c r="A117" s="263"/>
      <c r="B117" s="270" t="s">
        <v>712</v>
      </c>
      <c r="C117" s="271">
        <v>861</v>
      </c>
      <c r="D117" s="271">
        <v>22</v>
      </c>
      <c r="E117" s="271" t="s">
        <v>630</v>
      </c>
      <c r="F117" s="271" t="s">
        <v>631</v>
      </c>
      <c r="G117" s="271">
        <v>26</v>
      </c>
      <c r="H117" s="271" t="s">
        <v>631</v>
      </c>
      <c r="I117" s="271">
        <v>24</v>
      </c>
      <c r="J117" s="271" t="s">
        <v>631</v>
      </c>
      <c r="K117" s="271">
        <v>88</v>
      </c>
      <c r="L117" s="271" t="s">
        <v>632</v>
      </c>
      <c r="M117" s="271" t="s">
        <v>630</v>
      </c>
      <c r="N117" s="271" t="s">
        <v>631</v>
      </c>
      <c r="O117" s="271">
        <v>36</v>
      </c>
      <c r="P117" s="271" t="s">
        <v>631</v>
      </c>
      <c r="Q117" s="271">
        <v>55</v>
      </c>
      <c r="R117" s="271" t="s">
        <v>632</v>
      </c>
      <c r="S117" s="271">
        <v>44</v>
      </c>
      <c r="T117" s="271" t="s">
        <v>632</v>
      </c>
      <c r="U117" s="271">
        <v>32</v>
      </c>
      <c r="V117" s="271" t="s">
        <v>631</v>
      </c>
      <c r="W117" s="271">
        <v>19</v>
      </c>
      <c r="X117" s="271" t="s">
        <v>631</v>
      </c>
      <c r="Y117" s="271" t="s">
        <v>630</v>
      </c>
      <c r="Z117" s="271" t="s">
        <v>631</v>
      </c>
      <c r="AA117" s="271">
        <v>5</v>
      </c>
      <c r="AB117" s="271" t="s">
        <v>631</v>
      </c>
      <c r="AC117" s="263"/>
      <c r="AD117" s="263"/>
    </row>
    <row r="118" spans="1:30" x14ac:dyDescent="0.2">
      <c r="A118" s="263"/>
      <c r="B118" s="270" t="s">
        <v>713</v>
      </c>
      <c r="C118" s="271">
        <v>190</v>
      </c>
      <c r="D118" s="271">
        <v>15</v>
      </c>
      <c r="E118" s="271" t="s">
        <v>630</v>
      </c>
      <c r="F118" s="271" t="s">
        <v>631</v>
      </c>
      <c r="G118" s="271" t="s">
        <v>630</v>
      </c>
      <c r="H118" s="271" t="s">
        <v>631</v>
      </c>
      <c r="I118" s="271" t="s">
        <v>630</v>
      </c>
      <c r="J118" s="271" t="s">
        <v>631</v>
      </c>
      <c r="K118" s="271">
        <v>31</v>
      </c>
      <c r="L118" s="271" t="s">
        <v>631</v>
      </c>
      <c r="M118" s="271" t="s">
        <v>630</v>
      </c>
      <c r="N118" s="271" t="s">
        <v>631</v>
      </c>
      <c r="O118" s="271" t="s">
        <v>630</v>
      </c>
      <c r="P118" s="271" t="s">
        <v>631</v>
      </c>
      <c r="Q118" s="271" t="s">
        <v>630</v>
      </c>
      <c r="R118" s="271" t="s">
        <v>631</v>
      </c>
      <c r="S118" s="271" t="s">
        <v>630</v>
      </c>
      <c r="T118" s="271" t="s">
        <v>631</v>
      </c>
      <c r="U118" s="271">
        <v>105</v>
      </c>
      <c r="V118" s="271" t="s">
        <v>631</v>
      </c>
      <c r="W118" s="271">
        <v>89</v>
      </c>
      <c r="X118" s="271" t="s">
        <v>631</v>
      </c>
      <c r="Y118" s="271" t="s">
        <v>630</v>
      </c>
      <c r="Z118" s="271" t="s">
        <v>631</v>
      </c>
      <c r="AA118" s="271" t="s">
        <v>630</v>
      </c>
      <c r="AB118" s="271" t="s">
        <v>631</v>
      </c>
      <c r="AC118" s="263"/>
      <c r="AD118" s="263"/>
    </row>
    <row r="119" spans="1:30" x14ac:dyDescent="0.2">
      <c r="A119" s="263"/>
      <c r="B119" s="270" t="s">
        <v>714</v>
      </c>
      <c r="C119" s="271">
        <v>23588</v>
      </c>
      <c r="D119" s="271">
        <v>19</v>
      </c>
      <c r="E119" s="271">
        <v>6</v>
      </c>
      <c r="F119" s="271" t="s">
        <v>631</v>
      </c>
      <c r="G119" s="271">
        <v>15</v>
      </c>
      <c r="H119" s="271" t="s">
        <v>631</v>
      </c>
      <c r="I119" s="271">
        <v>39</v>
      </c>
      <c r="J119" s="271" t="s">
        <v>631</v>
      </c>
      <c r="K119" s="271">
        <v>85</v>
      </c>
      <c r="L119" s="271" t="s">
        <v>631</v>
      </c>
      <c r="M119" s="271" t="s">
        <v>630</v>
      </c>
      <c r="N119" s="271" t="s">
        <v>631</v>
      </c>
      <c r="O119" s="271" t="s">
        <v>630</v>
      </c>
      <c r="P119" s="271" t="s">
        <v>631</v>
      </c>
      <c r="Q119" s="271" t="s">
        <v>630</v>
      </c>
      <c r="R119" s="271" t="s">
        <v>631</v>
      </c>
      <c r="S119" s="271" t="s">
        <v>630</v>
      </c>
      <c r="T119" s="271" t="s">
        <v>631</v>
      </c>
      <c r="U119" s="271">
        <v>109</v>
      </c>
      <c r="V119" s="271" t="s">
        <v>631</v>
      </c>
      <c r="W119" s="271">
        <v>62</v>
      </c>
      <c r="X119" s="271" t="s">
        <v>631</v>
      </c>
      <c r="Y119" s="271" t="s">
        <v>630</v>
      </c>
      <c r="Z119" s="271" t="s">
        <v>631</v>
      </c>
      <c r="AA119" s="271" t="s">
        <v>630</v>
      </c>
      <c r="AB119" s="271" t="s">
        <v>631</v>
      </c>
      <c r="AC119" s="263"/>
      <c r="AD119" s="263"/>
    </row>
    <row r="120" spans="1:30" x14ac:dyDescent="0.2">
      <c r="A120" s="263"/>
      <c r="B120" s="270" t="s">
        <v>715</v>
      </c>
      <c r="C120" s="271">
        <v>26</v>
      </c>
      <c r="D120" s="271">
        <v>25</v>
      </c>
      <c r="E120" s="271" t="s">
        <v>630</v>
      </c>
      <c r="F120" s="271" t="s">
        <v>631</v>
      </c>
      <c r="G120" s="271" t="s">
        <v>630</v>
      </c>
      <c r="H120" s="271" t="s">
        <v>631</v>
      </c>
      <c r="I120" s="271" t="s">
        <v>630</v>
      </c>
      <c r="J120" s="271" t="s">
        <v>631</v>
      </c>
      <c r="K120" s="271">
        <v>33</v>
      </c>
      <c r="L120" s="271" t="s">
        <v>631</v>
      </c>
      <c r="M120" s="271" t="s">
        <v>630</v>
      </c>
      <c r="N120" s="271" t="s">
        <v>631</v>
      </c>
      <c r="O120" s="271" t="s">
        <v>630</v>
      </c>
      <c r="P120" s="271" t="s">
        <v>631</v>
      </c>
      <c r="Q120" s="271" t="s">
        <v>630</v>
      </c>
      <c r="R120" s="271" t="s">
        <v>631</v>
      </c>
      <c r="S120" s="271" t="s">
        <v>630</v>
      </c>
      <c r="T120" s="271" t="s">
        <v>631</v>
      </c>
      <c r="U120" s="271" t="s">
        <v>630</v>
      </c>
      <c r="V120" s="271" t="s">
        <v>631</v>
      </c>
      <c r="W120" s="271" t="s">
        <v>630</v>
      </c>
      <c r="X120" s="271" t="s">
        <v>631</v>
      </c>
      <c r="Y120" s="271" t="s">
        <v>630</v>
      </c>
      <c r="Z120" s="271" t="s">
        <v>631</v>
      </c>
      <c r="AA120" s="271" t="s">
        <v>630</v>
      </c>
      <c r="AB120" s="271" t="s">
        <v>631</v>
      </c>
      <c r="AC120" s="263"/>
      <c r="AD120" s="263"/>
    </row>
    <row r="121" spans="1:30" x14ac:dyDescent="0.2">
      <c r="A121" s="263"/>
      <c r="B121" s="270" t="s">
        <v>23</v>
      </c>
      <c r="C121" s="271" t="s">
        <v>630</v>
      </c>
      <c r="D121" s="271" t="s">
        <v>630</v>
      </c>
      <c r="E121" s="271" t="s">
        <v>630</v>
      </c>
      <c r="F121" s="271" t="s">
        <v>631</v>
      </c>
      <c r="G121" s="271" t="s">
        <v>630</v>
      </c>
      <c r="H121" s="271" t="s">
        <v>631</v>
      </c>
      <c r="I121" s="271" t="s">
        <v>630</v>
      </c>
      <c r="J121" s="271" t="s">
        <v>631</v>
      </c>
      <c r="K121" s="271" t="s">
        <v>630</v>
      </c>
      <c r="L121" s="271" t="s">
        <v>631</v>
      </c>
      <c r="M121" s="271" t="s">
        <v>630</v>
      </c>
      <c r="N121" s="271" t="s">
        <v>631</v>
      </c>
      <c r="O121" s="271" t="s">
        <v>630</v>
      </c>
      <c r="P121" s="271" t="s">
        <v>631</v>
      </c>
      <c r="Q121" s="271" t="s">
        <v>630</v>
      </c>
      <c r="R121" s="271" t="s">
        <v>631</v>
      </c>
      <c r="S121" s="271" t="s">
        <v>630</v>
      </c>
      <c r="T121" s="271" t="s">
        <v>631</v>
      </c>
      <c r="U121" s="271" t="s">
        <v>630</v>
      </c>
      <c r="V121" s="271" t="s">
        <v>631</v>
      </c>
      <c r="W121" s="271" t="s">
        <v>630</v>
      </c>
      <c r="X121" s="271" t="s">
        <v>631</v>
      </c>
      <c r="Y121" s="271" t="s">
        <v>630</v>
      </c>
      <c r="Z121" s="271" t="s">
        <v>631</v>
      </c>
      <c r="AA121" s="271" t="s">
        <v>630</v>
      </c>
      <c r="AB121" s="271" t="s">
        <v>631</v>
      </c>
      <c r="AC121" s="263"/>
      <c r="AD121" s="263"/>
    </row>
    <row r="122" spans="1:30" x14ac:dyDescent="0.2">
      <c r="A122" s="263"/>
      <c r="B122" s="270" t="s">
        <v>716</v>
      </c>
      <c r="C122" s="271">
        <v>461</v>
      </c>
      <c r="D122" s="271">
        <v>16</v>
      </c>
      <c r="E122" s="271">
        <v>1</v>
      </c>
      <c r="F122" s="271" t="s">
        <v>631</v>
      </c>
      <c r="G122" s="271">
        <v>5</v>
      </c>
      <c r="H122" s="271" t="s">
        <v>631</v>
      </c>
      <c r="I122" s="271">
        <v>2</v>
      </c>
      <c r="J122" s="271" t="s">
        <v>631</v>
      </c>
      <c r="K122" s="271">
        <v>19</v>
      </c>
      <c r="L122" s="271" t="s">
        <v>631</v>
      </c>
      <c r="M122" s="271">
        <v>9</v>
      </c>
      <c r="N122" s="271" t="s">
        <v>631</v>
      </c>
      <c r="O122" s="271">
        <v>14</v>
      </c>
      <c r="P122" s="271" t="s">
        <v>631</v>
      </c>
      <c r="Q122" s="271">
        <v>99</v>
      </c>
      <c r="R122" s="271" t="s">
        <v>631</v>
      </c>
      <c r="S122" s="271">
        <v>98</v>
      </c>
      <c r="T122" s="271" t="s">
        <v>631</v>
      </c>
      <c r="U122" s="271">
        <v>93</v>
      </c>
      <c r="V122" s="271" t="s">
        <v>631</v>
      </c>
      <c r="W122" s="271">
        <v>122</v>
      </c>
      <c r="X122" s="271" t="s">
        <v>631</v>
      </c>
      <c r="Y122" s="271">
        <v>24</v>
      </c>
      <c r="Z122" s="271" t="s">
        <v>631</v>
      </c>
      <c r="AA122" s="271">
        <v>28</v>
      </c>
      <c r="AB122" s="271" t="s">
        <v>631</v>
      </c>
      <c r="AC122" s="263"/>
      <c r="AD122" s="263"/>
    </row>
    <row r="123" spans="1:30" x14ac:dyDescent="0.2">
      <c r="A123" s="263"/>
      <c r="B123" s="270" t="s">
        <v>123</v>
      </c>
      <c r="C123" s="271">
        <v>83</v>
      </c>
      <c r="D123" s="271">
        <v>13</v>
      </c>
      <c r="E123" s="271" t="s">
        <v>630</v>
      </c>
      <c r="F123" s="271" t="s">
        <v>631</v>
      </c>
      <c r="G123" s="271">
        <v>2</v>
      </c>
      <c r="H123" s="271" t="s">
        <v>631</v>
      </c>
      <c r="I123" s="271" t="s">
        <v>630</v>
      </c>
      <c r="J123" s="271" t="s">
        <v>631</v>
      </c>
      <c r="K123" s="271">
        <v>14</v>
      </c>
      <c r="L123" s="271" t="s">
        <v>631</v>
      </c>
      <c r="M123" s="271" t="s">
        <v>630</v>
      </c>
      <c r="N123" s="271" t="s">
        <v>631</v>
      </c>
      <c r="O123" s="271">
        <v>6</v>
      </c>
      <c r="P123" s="271" t="s">
        <v>631</v>
      </c>
      <c r="Q123" s="271" t="s">
        <v>630</v>
      </c>
      <c r="R123" s="271" t="s">
        <v>631</v>
      </c>
      <c r="S123" s="271" t="s">
        <v>630</v>
      </c>
      <c r="T123" s="271" t="s">
        <v>631</v>
      </c>
      <c r="U123" s="271">
        <v>93</v>
      </c>
      <c r="V123" s="271" t="s">
        <v>631</v>
      </c>
      <c r="W123" s="271">
        <v>89</v>
      </c>
      <c r="X123" s="271" t="s">
        <v>631</v>
      </c>
      <c r="Y123" s="271" t="s">
        <v>630</v>
      </c>
      <c r="Z123" s="271" t="s">
        <v>631</v>
      </c>
      <c r="AA123" s="271" t="s">
        <v>630</v>
      </c>
      <c r="AB123" s="271" t="s">
        <v>631</v>
      </c>
      <c r="AC123" s="263"/>
      <c r="AD123" s="263"/>
    </row>
    <row r="124" spans="1:30" x14ac:dyDescent="0.2">
      <c r="A124" s="263"/>
      <c r="B124" s="270" t="s">
        <v>717</v>
      </c>
      <c r="C124" s="271">
        <v>5964</v>
      </c>
      <c r="D124" s="271">
        <v>18</v>
      </c>
      <c r="E124" s="271">
        <v>1</v>
      </c>
      <c r="F124" s="271" t="s">
        <v>631</v>
      </c>
      <c r="G124" s="271">
        <v>11</v>
      </c>
      <c r="H124" s="271" t="s">
        <v>631</v>
      </c>
      <c r="I124" s="271">
        <v>8</v>
      </c>
      <c r="J124" s="271" t="s">
        <v>632</v>
      </c>
      <c r="K124" s="271">
        <v>32</v>
      </c>
      <c r="L124" s="271" t="s">
        <v>631</v>
      </c>
      <c r="M124" s="271" t="s">
        <v>630</v>
      </c>
      <c r="N124" s="271" t="s">
        <v>631</v>
      </c>
      <c r="O124" s="271">
        <v>64</v>
      </c>
      <c r="P124" s="271" t="s">
        <v>632</v>
      </c>
      <c r="Q124" s="271" t="s">
        <v>630</v>
      </c>
      <c r="R124" s="271" t="s">
        <v>631</v>
      </c>
      <c r="S124" s="271">
        <v>90</v>
      </c>
      <c r="T124" s="271" t="s">
        <v>632</v>
      </c>
      <c r="U124" s="271">
        <v>84</v>
      </c>
      <c r="V124" s="271" t="s">
        <v>631</v>
      </c>
      <c r="W124" s="271">
        <v>54</v>
      </c>
      <c r="X124" s="271" t="s">
        <v>631</v>
      </c>
      <c r="Y124" s="271" t="s">
        <v>630</v>
      </c>
      <c r="Z124" s="271" t="s">
        <v>631</v>
      </c>
      <c r="AA124" s="271" t="s">
        <v>630</v>
      </c>
      <c r="AB124" s="271" t="s">
        <v>631</v>
      </c>
      <c r="AC124" s="263"/>
      <c r="AD124" s="263"/>
    </row>
    <row r="125" spans="1:30" x14ac:dyDescent="0.2">
      <c r="A125" s="263"/>
      <c r="B125" s="270" t="s">
        <v>718</v>
      </c>
      <c r="C125" s="271">
        <v>6051</v>
      </c>
      <c r="D125" s="271">
        <v>23</v>
      </c>
      <c r="E125" s="271">
        <v>8</v>
      </c>
      <c r="F125" s="271" t="s">
        <v>631</v>
      </c>
      <c r="G125" s="271">
        <v>37</v>
      </c>
      <c r="H125" s="271" t="s">
        <v>631</v>
      </c>
      <c r="I125" s="271">
        <v>40</v>
      </c>
      <c r="J125" s="271" t="s">
        <v>631</v>
      </c>
      <c r="K125" s="271">
        <v>166</v>
      </c>
      <c r="L125" s="271" t="s">
        <v>631</v>
      </c>
      <c r="M125" s="271">
        <v>20</v>
      </c>
      <c r="N125" s="271" t="s">
        <v>631</v>
      </c>
      <c r="O125" s="271">
        <v>24</v>
      </c>
      <c r="P125" s="271" t="s">
        <v>631</v>
      </c>
      <c r="Q125" s="271">
        <v>73</v>
      </c>
      <c r="R125" s="271" t="s">
        <v>631</v>
      </c>
      <c r="S125" s="271">
        <v>57</v>
      </c>
      <c r="T125" s="271" t="s">
        <v>631</v>
      </c>
      <c r="U125" s="271">
        <v>34</v>
      </c>
      <c r="V125" s="271" t="s">
        <v>631</v>
      </c>
      <c r="W125" s="271">
        <v>12</v>
      </c>
      <c r="X125" s="271" t="s">
        <v>631</v>
      </c>
      <c r="Y125" s="271">
        <v>49</v>
      </c>
      <c r="Z125" s="271" t="s">
        <v>631</v>
      </c>
      <c r="AA125" s="271">
        <v>27</v>
      </c>
      <c r="AB125" s="271" t="s">
        <v>631</v>
      </c>
      <c r="AC125" s="263"/>
      <c r="AD125" s="263"/>
    </row>
    <row r="126" spans="1:30" x14ac:dyDescent="0.2">
      <c r="A126" s="263"/>
      <c r="B126" s="270" t="s">
        <v>719</v>
      </c>
      <c r="C126" s="271">
        <v>9223</v>
      </c>
      <c r="D126" s="271">
        <v>17</v>
      </c>
      <c r="E126" s="271" t="s">
        <v>630</v>
      </c>
      <c r="F126" s="271" t="s">
        <v>631</v>
      </c>
      <c r="G126" s="271">
        <v>7</v>
      </c>
      <c r="H126" s="271" t="s">
        <v>631</v>
      </c>
      <c r="I126" s="271">
        <v>13</v>
      </c>
      <c r="J126" s="271" t="s">
        <v>632</v>
      </c>
      <c r="K126" s="271">
        <v>17</v>
      </c>
      <c r="L126" s="271" t="s">
        <v>632</v>
      </c>
      <c r="M126" s="271" t="s">
        <v>630</v>
      </c>
      <c r="N126" s="271" t="s">
        <v>631</v>
      </c>
      <c r="O126" s="271" t="s">
        <v>630</v>
      </c>
      <c r="P126" s="271" t="s">
        <v>631</v>
      </c>
      <c r="Q126" s="271" t="s">
        <v>630</v>
      </c>
      <c r="R126" s="271" t="s">
        <v>631</v>
      </c>
      <c r="S126" s="271" t="s">
        <v>630</v>
      </c>
      <c r="T126" s="271" t="s">
        <v>631</v>
      </c>
      <c r="U126" s="271">
        <v>58</v>
      </c>
      <c r="V126" s="271" t="s">
        <v>631</v>
      </c>
      <c r="W126" s="271">
        <v>35</v>
      </c>
      <c r="X126" s="271" t="s">
        <v>631</v>
      </c>
      <c r="Y126" s="271" t="s">
        <v>630</v>
      </c>
      <c r="Z126" s="271" t="s">
        <v>631</v>
      </c>
      <c r="AA126" s="271">
        <v>31</v>
      </c>
      <c r="AB126" s="271" t="s">
        <v>631</v>
      </c>
      <c r="AC126" s="263"/>
      <c r="AD126" s="263"/>
    </row>
    <row r="127" spans="1:30" x14ac:dyDescent="0.2">
      <c r="A127" s="263"/>
      <c r="B127" s="270" t="s">
        <v>720</v>
      </c>
      <c r="C127" s="271">
        <v>533</v>
      </c>
      <c r="D127" s="271">
        <v>23</v>
      </c>
      <c r="E127" s="271">
        <v>0</v>
      </c>
      <c r="F127" s="271" t="s">
        <v>631</v>
      </c>
      <c r="G127" s="271">
        <v>5</v>
      </c>
      <c r="H127" s="271" t="s">
        <v>631</v>
      </c>
      <c r="I127" s="271">
        <v>17</v>
      </c>
      <c r="J127" s="271" t="s">
        <v>632</v>
      </c>
      <c r="K127" s="271">
        <v>74</v>
      </c>
      <c r="L127" s="271" t="s">
        <v>632</v>
      </c>
      <c r="M127" s="271">
        <v>44</v>
      </c>
      <c r="N127" s="271" t="s">
        <v>631</v>
      </c>
      <c r="O127" s="271">
        <v>38</v>
      </c>
      <c r="P127" s="271" t="s">
        <v>631</v>
      </c>
      <c r="Q127" s="271">
        <v>86</v>
      </c>
      <c r="R127" s="271" t="s">
        <v>631</v>
      </c>
      <c r="S127" s="271">
        <v>88</v>
      </c>
      <c r="T127" s="271" t="s">
        <v>631</v>
      </c>
      <c r="U127" s="271" t="s">
        <v>630</v>
      </c>
      <c r="V127" s="271" t="s">
        <v>631</v>
      </c>
      <c r="W127" s="271" t="s">
        <v>630</v>
      </c>
      <c r="X127" s="271" t="s">
        <v>631</v>
      </c>
      <c r="Y127" s="271">
        <v>59</v>
      </c>
      <c r="Z127" s="271" t="s">
        <v>632</v>
      </c>
      <c r="AA127" s="271">
        <v>62</v>
      </c>
      <c r="AB127" s="271" t="s">
        <v>632</v>
      </c>
      <c r="AC127" s="263"/>
      <c r="AD127" s="263"/>
    </row>
    <row r="128" spans="1:30" x14ac:dyDescent="0.2">
      <c r="A128" s="263"/>
      <c r="B128" s="270" t="s">
        <v>721</v>
      </c>
      <c r="C128" s="271" t="s">
        <v>630</v>
      </c>
      <c r="D128" s="271" t="s">
        <v>630</v>
      </c>
      <c r="E128" s="271">
        <v>9</v>
      </c>
      <c r="F128" s="271" t="s">
        <v>631</v>
      </c>
      <c r="G128" s="271">
        <v>18</v>
      </c>
      <c r="H128" s="271" t="s">
        <v>631</v>
      </c>
      <c r="I128" s="271">
        <v>22</v>
      </c>
      <c r="J128" s="271" t="s">
        <v>632</v>
      </c>
      <c r="K128" s="271">
        <v>81</v>
      </c>
      <c r="L128" s="271" t="s">
        <v>631</v>
      </c>
      <c r="M128" s="271" t="s">
        <v>630</v>
      </c>
      <c r="N128" s="271" t="s">
        <v>631</v>
      </c>
      <c r="O128" s="271" t="s">
        <v>630</v>
      </c>
      <c r="P128" s="271" t="s">
        <v>631</v>
      </c>
      <c r="Q128" s="271">
        <v>89</v>
      </c>
      <c r="R128" s="271" t="s">
        <v>631</v>
      </c>
      <c r="S128" s="271">
        <v>86</v>
      </c>
      <c r="T128" s="271" t="s">
        <v>631</v>
      </c>
      <c r="U128" s="271">
        <v>78</v>
      </c>
      <c r="V128" s="271" t="s">
        <v>631</v>
      </c>
      <c r="W128" s="271">
        <v>58</v>
      </c>
      <c r="X128" s="271" t="s">
        <v>631</v>
      </c>
      <c r="Y128" s="271">
        <v>8</v>
      </c>
      <c r="Z128" s="271" t="s">
        <v>632</v>
      </c>
      <c r="AA128" s="271">
        <v>8</v>
      </c>
      <c r="AB128" s="271" t="s">
        <v>632</v>
      </c>
      <c r="AC128" s="263"/>
      <c r="AD128" s="263"/>
    </row>
    <row r="129" spans="1:30" x14ac:dyDescent="0.2">
      <c r="A129" s="263"/>
      <c r="B129" s="270" t="s">
        <v>722</v>
      </c>
      <c r="C129" s="271">
        <v>6452</v>
      </c>
      <c r="D129" s="271">
        <v>23</v>
      </c>
      <c r="E129" s="271">
        <v>7</v>
      </c>
      <c r="F129" s="271" t="s">
        <v>631</v>
      </c>
      <c r="G129" s="271">
        <v>29</v>
      </c>
      <c r="H129" s="271" t="s">
        <v>631</v>
      </c>
      <c r="I129" s="271">
        <v>19</v>
      </c>
      <c r="J129" s="271" t="s">
        <v>631</v>
      </c>
      <c r="K129" s="271">
        <v>87</v>
      </c>
      <c r="L129" s="271" t="s">
        <v>631</v>
      </c>
      <c r="M129" s="271">
        <v>27</v>
      </c>
      <c r="N129" s="271" t="s">
        <v>631</v>
      </c>
      <c r="O129" s="271">
        <v>24</v>
      </c>
      <c r="P129" s="271" t="s">
        <v>631</v>
      </c>
      <c r="Q129" s="271">
        <v>86</v>
      </c>
      <c r="R129" s="271" t="s">
        <v>631</v>
      </c>
      <c r="S129" s="271">
        <v>76</v>
      </c>
      <c r="T129" s="271" t="s">
        <v>631</v>
      </c>
      <c r="U129" s="271">
        <v>88</v>
      </c>
      <c r="V129" s="271" t="s">
        <v>631</v>
      </c>
      <c r="W129" s="271">
        <v>47</v>
      </c>
      <c r="X129" s="271" t="s">
        <v>631</v>
      </c>
      <c r="Y129" s="271">
        <v>33</v>
      </c>
      <c r="Z129" s="271" t="s">
        <v>631</v>
      </c>
      <c r="AA129" s="271">
        <v>25</v>
      </c>
      <c r="AB129" s="271" t="s">
        <v>631</v>
      </c>
      <c r="AC129" s="263"/>
      <c r="AD129" s="263"/>
    </row>
    <row r="130" spans="1:30" x14ac:dyDescent="0.2">
      <c r="A130" s="263"/>
      <c r="B130" s="270" t="s">
        <v>124</v>
      </c>
      <c r="C130" s="271">
        <v>2007</v>
      </c>
      <c r="D130" s="271">
        <v>12</v>
      </c>
      <c r="E130" s="271" t="s">
        <v>630</v>
      </c>
      <c r="F130" s="271" t="s">
        <v>631</v>
      </c>
      <c r="G130" s="271" t="s">
        <v>630</v>
      </c>
      <c r="H130" s="271" t="s">
        <v>631</v>
      </c>
      <c r="I130" s="271" t="s">
        <v>630</v>
      </c>
      <c r="J130" s="271" t="s">
        <v>631</v>
      </c>
      <c r="K130" s="271">
        <v>5</v>
      </c>
      <c r="L130" s="271" t="s">
        <v>631</v>
      </c>
      <c r="M130" s="271" t="s">
        <v>630</v>
      </c>
      <c r="N130" s="271" t="s">
        <v>631</v>
      </c>
      <c r="O130" s="271" t="s">
        <v>630</v>
      </c>
      <c r="P130" s="271" t="s">
        <v>631</v>
      </c>
      <c r="Q130" s="271" t="s">
        <v>630</v>
      </c>
      <c r="R130" s="271" t="s">
        <v>631</v>
      </c>
      <c r="S130" s="271" t="s">
        <v>630</v>
      </c>
      <c r="T130" s="271" t="s">
        <v>631</v>
      </c>
      <c r="U130" s="271">
        <v>137</v>
      </c>
      <c r="V130" s="271" t="s">
        <v>631</v>
      </c>
      <c r="W130" s="271">
        <v>123</v>
      </c>
      <c r="X130" s="271" t="s">
        <v>631</v>
      </c>
      <c r="Y130" s="271" t="s">
        <v>630</v>
      </c>
      <c r="Z130" s="271" t="s">
        <v>631</v>
      </c>
      <c r="AA130" s="271" t="s">
        <v>630</v>
      </c>
      <c r="AB130" s="271" t="s">
        <v>631</v>
      </c>
      <c r="AC130" s="263"/>
      <c r="AD130" s="263"/>
    </row>
    <row r="131" spans="1:30" x14ac:dyDescent="0.2">
      <c r="A131" s="263"/>
      <c r="B131" s="270" t="s">
        <v>723</v>
      </c>
      <c r="C131" s="271">
        <v>601</v>
      </c>
      <c r="D131" s="271">
        <v>13</v>
      </c>
      <c r="E131" s="271" t="s">
        <v>630</v>
      </c>
      <c r="F131" s="271" t="s">
        <v>631</v>
      </c>
      <c r="G131" s="271" t="s">
        <v>630</v>
      </c>
      <c r="H131" s="271" t="s">
        <v>631</v>
      </c>
      <c r="I131" s="271" t="s">
        <v>630</v>
      </c>
      <c r="J131" s="271" t="s">
        <v>631</v>
      </c>
      <c r="K131" s="271">
        <v>25</v>
      </c>
      <c r="L131" s="271" t="s">
        <v>631</v>
      </c>
      <c r="M131" s="271" t="s">
        <v>630</v>
      </c>
      <c r="N131" s="271" t="s">
        <v>631</v>
      </c>
      <c r="O131" s="271" t="s">
        <v>630</v>
      </c>
      <c r="P131" s="271" t="s">
        <v>631</v>
      </c>
      <c r="Q131" s="271" t="s">
        <v>630</v>
      </c>
      <c r="R131" s="271" t="s">
        <v>631</v>
      </c>
      <c r="S131" s="271" t="s">
        <v>630</v>
      </c>
      <c r="T131" s="271" t="s">
        <v>631</v>
      </c>
      <c r="U131" s="271">
        <v>105</v>
      </c>
      <c r="V131" s="271" t="s">
        <v>631</v>
      </c>
      <c r="W131" s="271">
        <v>138</v>
      </c>
      <c r="X131" s="271" t="s">
        <v>631</v>
      </c>
      <c r="Y131" s="271" t="s">
        <v>630</v>
      </c>
      <c r="Z131" s="271" t="s">
        <v>631</v>
      </c>
      <c r="AA131" s="271" t="s">
        <v>630</v>
      </c>
      <c r="AB131" s="271" t="s">
        <v>631</v>
      </c>
      <c r="AC131" s="263"/>
      <c r="AD131" s="263"/>
    </row>
    <row r="132" spans="1:30" x14ac:dyDescent="0.2">
      <c r="A132" s="263"/>
      <c r="B132" s="270" t="s">
        <v>724</v>
      </c>
      <c r="C132" s="271">
        <v>1309</v>
      </c>
      <c r="D132" s="271">
        <v>22</v>
      </c>
      <c r="E132" s="271" t="s">
        <v>630</v>
      </c>
      <c r="F132" s="271" t="s">
        <v>631</v>
      </c>
      <c r="G132" s="271">
        <v>24</v>
      </c>
      <c r="H132" s="271" t="s">
        <v>631</v>
      </c>
      <c r="I132" s="271">
        <v>28</v>
      </c>
      <c r="J132" s="271" t="s">
        <v>632</v>
      </c>
      <c r="K132" s="271">
        <v>92</v>
      </c>
      <c r="L132" s="271" t="s">
        <v>631</v>
      </c>
      <c r="M132" s="271" t="s">
        <v>630</v>
      </c>
      <c r="N132" s="271" t="s">
        <v>631</v>
      </c>
      <c r="O132" s="271">
        <v>19</v>
      </c>
      <c r="P132" s="271" t="s">
        <v>641</v>
      </c>
      <c r="Q132" s="271" t="s">
        <v>630</v>
      </c>
      <c r="R132" s="271" t="s">
        <v>631</v>
      </c>
      <c r="S132" s="271">
        <v>95</v>
      </c>
      <c r="T132" s="271" t="s">
        <v>632</v>
      </c>
      <c r="U132" s="271">
        <v>79</v>
      </c>
      <c r="V132" s="271" t="s">
        <v>631</v>
      </c>
      <c r="W132" s="271">
        <v>54</v>
      </c>
      <c r="X132" s="271" t="s">
        <v>631</v>
      </c>
      <c r="Y132" s="271" t="s">
        <v>630</v>
      </c>
      <c r="Z132" s="271" t="s">
        <v>631</v>
      </c>
      <c r="AA132" s="271" t="s">
        <v>630</v>
      </c>
      <c r="AB132" s="271" t="s">
        <v>631</v>
      </c>
      <c r="AC132" s="263"/>
      <c r="AD132" s="263"/>
    </row>
    <row r="133" spans="1:30" x14ac:dyDescent="0.2">
      <c r="A133" s="263"/>
      <c r="B133" s="270" t="s">
        <v>725</v>
      </c>
      <c r="C133" s="271">
        <v>4138</v>
      </c>
      <c r="D133" s="271">
        <v>23</v>
      </c>
      <c r="E133" s="271">
        <v>3</v>
      </c>
      <c r="F133" s="271" t="s">
        <v>631</v>
      </c>
      <c r="G133" s="271">
        <v>61</v>
      </c>
      <c r="H133" s="271" t="s">
        <v>631</v>
      </c>
      <c r="I133" s="271">
        <v>48</v>
      </c>
      <c r="J133" s="271" t="s">
        <v>631</v>
      </c>
      <c r="K133" s="271">
        <v>206</v>
      </c>
      <c r="L133" s="271" t="s">
        <v>631</v>
      </c>
      <c r="M133" s="271">
        <v>41</v>
      </c>
      <c r="N133" s="271" t="s">
        <v>631</v>
      </c>
      <c r="O133" s="271">
        <v>54</v>
      </c>
      <c r="P133" s="271" t="s">
        <v>631</v>
      </c>
      <c r="Q133" s="271">
        <v>35</v>
      </c>
      <c r="R133" s="271" t="s">
        <v>631</v>
      </c>
      <c r="S133" s="271">
        <v>44</v>
      </c>
      <c r="T133" s="271" t="s">
        <v>631</v>
      </c>
      <c r="U133" s="271">
        <v>22</v>
      </c>
      <c r="V133" s="271" t="s">
        <v>631</v>
      </c>
      <c r="W133" s="271">
        <v>7</v>
      </c>
      <c r="X133" s="271" t="s">
        <v>631</v>
      </c>
      <c r="Y133" s="271">
        <v>21</v>
      </c>
      <c r="Z133" s="271" t="s">
        <v>631</v>
      </c>
      <c r="AA133" s="271">
        <v>12</v>
      </c>
      <c r="AB133" s="271" t="s">
        <v>631</v>
      </c>
      <c r="AC133" s="263"/>
      <c r="AD133" s="263"/>
    </row>
    <row r="134" spans="1:30" x14ac:dyDescent="0.2">
      <c r="A134" s="263"/>
      <c r="B134" s="270" t="s">
        <v>726</v>
      </c>
      <c r="C134" s="271">
        <v>38841</v>
      </c>
      <c r="D134" s="271">
        <v>22</v>
      </c>
      <c r="E134" s="271">
        <v>1</v>
      </c>
      <c r="F134" s="271" t="s">
        <v>631</v>
      </c>
      <c r="G134" s="271">
        <v>29</v>
      </c>
      <c r="H134" s="271" t="s">
        <v>631</v>
      </c>
      <c r="I134" s="271">
        <v>29</v>
      </c>
      <c r="J134" s="271" t="s">
        <v>631</v>
      </c>
      <c r="K134" s="271">
        <v>122</v>
      </c>
      <c r="L134" s="271" t="s">
        <v>631</v>
      </c>
      <c r="M134" s="271">
        <v>25</v>
      </c>
      <c r="N134" s="271" t="s">
        <v>631</v>
      </c>
      <c r="O134" s="271">
        <v>33</v>
      </c>
      <c r="P134" s="271" t="s">
        <v>631</v>
      </c>
      <c r="Q134" s="271">
        <v>54</v>
      </c>
      <c r="R134" s="271" t="s">
        <v>631</v>
      </c>
      <c r="S134" s="271">
        <v>50</v>
      </c>
      <c r="T134" s="271" t="s">
        <v>631</v>
      </c>
      <c r="U134" s="271">
        <v>46</v>
      </c>
      <c r="V134" s="271" t="s">
        <v>631</v>
      </c>
      <c r="W134" s="271">
        <v>41</v>
      </c>
      <c r="X134" s="271" t="s">
        <v>631</v>
      </c>
      <c r="Y134" s="271">
        <v>29</v>
      </c>
      <c r="Z134" s="271" t="s">
        <v>631</v>
      </c>
      <c r="AA134" s="271">
        <v>22</v>
      </c>
      <c r="AB134" s="271" t="s">
        <v>631</v>
      </c>
      <c r="AC134" s="263"/>
      <c r="AD134" s="263"/>
    </row>
    <row r="135" spans="1:30" x14ac:dyDescent="0.2">
      <c r="A135" s="263"/>
      <c r="B135" s="270" t="s">
        <v>727</v>
      </c>
      <c r="C135" s="271" t="s">
        <v>630</v>
      </c>
      <c r="D135" s="271" t="s">
        <v>630</v>
      </c>
      <c r="E135" s="271" t="s">
        <v>630</v>
      </c>
      <c r="F135" s="271" t="s">
        <v>631</v>
      </c>
      <c r="G135" s="271" t="s">
        <v>630</v>
      </c>
      <c r="H135" s="271" t="s">
        <v>631</v>
      </c>
      <c r="I135" s="271" t="s">
        <v>630</v>
      </c>
      <c r="J135" s="271" t="s">
        <v>631</v>
      </c>
      <c r="K135" s="271">
        <v>16</v>
      </c>
      <c r="L135" s="271" t="s">
        <v>631</v>
      </c>
      <c r="M135" s="271" t="s">
        <v>630</v>
      </c>
      <c r="N135" s="271" t="s">
        <v>631</v>
      </c>
      <c r="O135" s="271" t="s">
        <v>630</v>
      </c>
      <c r="P135" s="271" t="s">
        <v>631</v>
      </c>
      <c r="Q135" s="271" t="s">
        <v>630</v>
      </c>
      <c r="R135" s="271" t="s">
        <v>631</v>
      </c>
      <c r="S135" s="271" t="s">
        <v>630</v>
      </c>
      <c r="T135" s="271" t="s">
        <v>631</v>
      </c>
      <c r="U135" s="271" t="s">
        <v>630</v>
      </c>
      <c r="V135" s="271" t="s">
        <v>631</v>
      </c>
      <c r="W135" s="271" t="s">
        <v>630</v>
      </c>
      <c r="X135" s="271" t="s">
        <v>631</v>
      </c>
      <c r="Y135" s="271" t="s">
        <v>630</v>
      </c>
      <c r="Z135" s="271" t="s">
        <v>631</v>
      </c>
      <c r="AA135" s="271" t="s">
        <v>630</v>
      </c>
      <c r="AB135" s="271" t="s">
        <v>631</v>
      </c>
      <c r="AC135" s="263"/>
      <c r="AD135" s="263"/>
    </row>
    <row r="136" spans="1:30" x14ac:dyDescent="0.2">
      <c r="A136" s="263"/>
      <c r="B136" s="270" t="s">
        <v>125</v>
      </c>
      <c r="C136" s="271">
        <v>641</v>
      </c>
      <c r="D136" s="271">
        <v>13</v>
      </c>
      <c r="E136" s="271" t="s">
        <v>630</v>
      </c>
      <c r="F136" s="271" t="s">
        <v>631</v>
      </c>
      <c r="G136" s="271" t="s">
        <v>630</v>
      </c>
      <c r="H136" s="271" t="s">
        <v>631</v>
      </c>
      <c r="I136" s="271" t="s">
        <v>630</v>
      </c>
      <c r="J136" s="271" t="s">
        <v>631</v>
      </c>
      <c r="K136" s="271">
        <v>7</v>
      </c>
      <c r="L136" s="271" t="s">
        <v>631</v>
      </c>
      <c r="M136" s="271" t="s">
        <v>630</v>
      </c>
      <c r="N136" s="271" t="s">
        <v>631</v>
      </c>
      <c r="O136" s="271" t="s">
        <v>630</v>
      </c>
      <c r="P136" s="271" t="s">
        <v>631</v>
      </c>
      <c r="Q136" s="271" t="s">
        <v>630</v>
      </c>
      <c r="R136" s="271" t="s">
        <v>631</v>
      </c>
      <c r="S136" s="271" t="s">
        <v>630</v>
      </c>
      <c r="T136" s="271" t="s">
        <v>631</v>
      </c>
      <c r="U136" s="271">
        <v>99</v>
      </c>
      <c r="V136" s="271" t="s">
        <v>631</v>
      </c>
      <c r="W136" s="271">
        <v>123</v>
      </c>
      <c r="X136" s="271" t="s">
        <v>631</v>
      </c>
      <c r="Y136" s="271" t="s">
        <v>630</v>
      </c>
      <c r="Z136" s="271" t="s">
        <v>631</v>
      </c>
      <c r="AA136" s="271" t="s">
        <v>630</v>
      </c>
      <c r="AB136" s="271" t="s">
        <v>631</v>
      </c>
      <c r="AC136" s="263"/>
      <c r="AD136" s="263"/>
    </row>
    <row r="137" spans="1:30" x14ac:dyDescent="0.2">
      <c r="A137" s="263"/>
      <c r="B137" s="270" t="s">
        <v>728</v>
      </c>
      <c r="C137" s="271">
        <v>559</v>
      </c>
      <c r="D137" s="271">
        <v>15</v>
      </c>
      <c r="E137" s="271" t="s">
        <v>630</v>
      </c>
      <c r="F137" s="271" t="s">
        <v>631</v>
      </c>
      <c r="G137" s="271" t="s">
        <v>630</v>
      </c>
      <c r="H137" s="271" t="s">
        <v>631</v>
      </c>
      <c r="I137" s="271" t="s">
        <v>630</v>
      </c>
      <c r="J137" s="271" t="s">
        <v>631</v>
      </c>
      <c r="K137" s="271">
        <v>12</v>
      </c>
      <c r="L137" s="271" t="s">
        <v>631</v>
      </c>
      <c r="M137" s="271" t="s">
        <v>630</v>
      </c>
      <c r="N137" s="271" t="s">
        <v>631</v>
      </c>
      <c r="O137" s="271" t="s">
        <v>630</v>
      </c>
      <c r="P137" s="271" t="s">
        <v>631</v>
      </c>
      <c r="Q137" s="271" t="s">
        <v>630</v>
      </c>
      <c r="R137" s="271" t="s">
        <v>631</v>
      </c>
      <c r="S137" s="271" t="s">
        <v>630</v>
      </c>
      <c r="T137" s="271" t="s">
        <v>631</v>
      </c>
      <c r="U137" s="271">
        <v>98</v>
      </c>
      <c r="V137" s="271" t="s">
        <v>631</v>
      </c>
      <c r="W137" s="271">
        <v>97</v>
      </c>
      <c r="X137" s="271" t="s">
        <v>631</v>
      </c>
      <c r="Y137" s="271" t="s">
        <v>630</v>
      </c>
      <c r="Z137" s="271" t="s">
        <v>631</v>
      </c>
      <c r="AA137" s="271" t="s">
        <v>630</v>
      </c>
      <c r="AB137" s="271" t="s">
        <v>631</v>
      </c>
      <c r="AC137" s="263"/>
      <c r="AD137" s="263"/>
    </row>
    <row r="138" spans="1:30" x14ac:dyDescent="0.2">
      <c r="A138" s="263"/>
      <c r="B138" s="270" t="s">
        <v>729</v>
      </c>
      <c r="C138" s="271">
        <v>39831</v>
      </c>
      <c r="D138" s="271">
        <v>22</v>
      </c>
      <c r="E138" s="271">
        <v>2</v>
      </c>
      <c r="F138" s="271" t="s">
        <v>631</v>
      </c>
      <c r="G138" s="271">
        <v>14</v>
      </c>
      <c r="H138" s="271" t="s">
        <v>631</v>
      </c>
      <c r="I138" s="271">
        <v>8</v>
      </c>
      <c r="J138" s="271" t="s">
        <v>631</v>
      </c>
      <c r="K138" s="271">
        <v>48</v>
      </c>
      <c r="L138" s="271" t="s">
        <v>631</v>
      </c>
      <c r="M138" s="271">
        <v>33</v>
      </c>
      <c r="N138" s="271" t="s">
        <v>641</v>
      </c>
      <c r="O138" s="271">
        <v>53</v>
      </c>
      <c r="P138" s="271" t="s">
        <v>641</v>
      </c>
      <c r="Q138" s="271">
        <v>59</v>
      </c>
      <c r="R138" s="271" t="s">
        <v>641</v>
      </c>
      <c r="S138" s="271">
        <v>49</v>
      </c>
      <c r="T138" s="271" t="s">
        <v>641</v>
      </c>
      <c r="U138" s="271">
        <v>49</v>
      </c>
      <c r="V138" s="271" t="s">
        <v>631</v>
      </c>
      <c r="W138" s="271">
        <v>27</v>
      </c>
      <c r="X138" s="271" t="s">
        <v>631</v>
      </c>
      <c r="Y138" s="271">
        <v>5</v>
      </c>
      <c r="Z138" s="271" t="s">
        <v>692</v>
      </c>
      <c r="AA138" s="271">
        <v>1</v>
      </c>
      <c r="AB138" s="271" t="s">
        <v>641</v>
      </c>
      <c r="AC138" s="263"/>
      <c r="AD138" s="263"/>
    </row>
    <row r="139" spans="1:30" x14ac:dyDescent="0.2">
      <c r="A139" s="263"/>
      <c r="B139" s="270" t="s">
        <v>730</v>
      </c>
      <c r="C139" s="271" t="s">
        <v>630</v>
      </c>
      <c r="D139" s="271" t="s">
        <v>630</v>
      </c>
      <c r="E139" s="271" t="s">
        <v>630</v>
      </c>
      <c r="F139" s="271" t="s">
        <v>631</v>
      </c>
      <c r="G139" s="271" t="s">
        <v>630</v>
      </c>
      <c r="H139" s="271" t="s">
        <v>631</v>
      </c>
      <c r="I139" s="271" t="s">
        <v>630</v>
      </c>
      <c r="J139" s="271" t="s">
        <v>631</v>
      </c>
      <c r="K139" s="271">
        <v>27</v>
      </c>
      <c r="L139" s="271" t="s">
        <v>631</v>
      </c>
      <c r="M139" s="271" t="s">
        <v>630</v>
      </c>
      <c r="N139" s="271" t="s">
        <v>631</v>
      </c>
      <c r="O139" s="271" t="s">
        <v>630</v>
      </c>
      <c r="P139" s="271" t="s">
        <v>631</v>
      </c>
      <c r="Q139" s="271" t="s">
        <v>630</v>
      </c>
      <c r="R139" s="271" t="s">
        <v>631</v>
      </c>
      <c r="S139" s="271" t="s">
        <v>630</v>
      </c>
      <c r="T139" s="271" t="s">
        <v>631</v>
      </c>
      <c r="U139" s="271" t="s">
        <v>630</v>
      </c>
      <c r="V139" s="271" t="s">
        <v>631</v>
      </c>
      <c r="W139" s="271" t="s">
        <v>630</v>
      </c>
      <c r="X139" s="271" t="s">
        <v>631</v>
      </c>
      <c r="Y139" s="271" t="s">
        <v>630</v>
      </c>
      <c r="Z139" s="271" t="s">
        <v>631</v>
      </c>
      <c r="AA139" s="271" t="s">
        <v>630</v>
      </c>
      <c r="AB139" s="271" t="s">
        <v>631</v>
      </c>
      <c r="AC139" s="263"/>
      <c r="AD139" s="263"/>
    </row>
    <row r="140" spans="1:30" x14ac:dyDescent="0.2">
      <c r="A140" s="263"/>
      <c r="B140" s="270" t="s">
        <v>731</v>
      </c>
      <c r="C140" s="271">
        <v>699</v>
      </c>
      <c r="D140" s="271">
        <v>18</v>
      </c>
      <c r="E140" s="271" t="s">
        <v>630</v>
      </c>
      <c r="F140" s="271" t="s">
        <v>631</v>
      </c>
      <c r="G140" s="271" t="s">
        <v>630</v>
      </c>
      <c r="H140" s="271" t="s">
        <v>631</v>
      </c>
      <c r="I140" s="271" t="s">
        <v>630</v>
      </c>
      <c r="J140" s="271" t="s">
        <v>631</v>
      </c>
      <c r="K140" s="271">
        <v>81</v>
      </c>
      <c r="L140" s="271" t="s">
        <v>631</v>
      </c>
      <c r="M140" s="271" t="s">
        <v>630</v>
      </c>
      <c r="N140" s="271" t="s">
        <v>631</v>
      </c>
      <c r="O140" s="271" t="s">
        <v>630</v>
      </c>
      <c r="P140" s="271" t="s">
        <v>631</v>
      </c>
      <c r="Q140" s="271" t="s">
        <v>630</v>
      </c>
      <c r="R140" s="271" t="s">
        <v>631</v>
      </c>
      <c r="S140" s="271" t="s">
        <v>630</v>
      </c>
      <c r="T140" s="271" t="s">
        <v>631</v>
      </c>
      <c r="U140" s="271">
        <v>89</v>
      </c>
      <c r="V140" s="271" t="s">
        <v>631</v>
      </c>
      <c r="W140" s="271">
        <v>79</v>
      </c>
      <c r="X140" s="271" t="s">
        <v>631</v>
      </c>
      <c r="Y140" s="271" t="s">
        <v>630</v>
      </c>
      <c r="Z140" s="271" t="s">
        <v>631</v>
      </c>
      <c r="AA140" s="271" t="s">
        <v>630</v>
      </c>
      <c r="AB140" s="271" t="s">
        <v>631</v>
      </c>
      <c r="AC140" s="263"/>
      <c r="AD140" s="263"/>
    </row>
    <row r="141" spans="1:30" x14ac:dyDescent="0.2">
      <c r="A141" s="263"/>
      <c r="B141" s="270" t="s">
        <v>732</v>
      </c>
      <c r="C141" s="271">
        <v>1639</v>
      </c>
      <c r="D141" s="271">
        <v>22</v>
      </c>
      <c r="E141" s="271">
        <v>3</v>
      </c>
      <c r="F141" s="271" t="s">
        <v>631</v>
      </c>
      <c r="G141" s="271">
        <v>15</v>
      </c>
      <c r="H141" s="271" t="s">
        <v>631</v>
      </c>
      <c r="I141" s="271">
        <v>14</v>
      </c>
      <c r="J141" s="271" t="s">
        <v>632</v>
      </c>
      <c r="K141" s="271">
        <v>65</v>
      </c>
      <c r="L141" s="271" t="s">
        <v>632</v>
      </c>
      <c r="M141" s="271" t="s">
        <v>630</v>
      </c>
      <c r="N141" s="271" t="s">
        <v>631</v>
      </c>
      <c r="O141" s="271" t="s">
        <v>630</v>
      </c>
      <c r="P141" s="271" t="s">
        <v>631</v>
      </c>
      <c r="Q141" s="271" t="s">
        <v>630</v>
      </c>
      <c r="R141" s="271" t="s">
        <v>631</v>
      </c>
      <c r="S141" s="271" t="s">
        <v>630</v>
      </c>
      <c r="T141" s="271" t="s">
        <v>631</v>
      </c>
      <c r="U141" s="271">
        <v>73</v>
      </c>
      <c r="V141" s="271" t="s">
        <v>631</v>
      </c>
      <c r="W141" s="271">
        <v>22</v>
      </c>
      <c r="X141" s="271" t="s">
        <v>631</v>
      </c>
      <c r="Y141" s="271" t="s">
        <v>630</v>
      </c>
      <c r="Z141" s="271" t="s">
        <v>631</v>
      </c>
      <c r="AA141" s="271" t="s">
        <v>630</v>
      </c>
      <c r="AB141" s="271" t="s">
        <v>631</v>
      </c>
      <c r="AC141" s="263"/>
      <c r="AD141" s="263"/>
    </row>
    <row r="142" spans="1:30" x14ac:dyDescent="0.2">
      <c r="A142" s="263"/>
      <c r="B142" s="270" t="s">
        <v>733</v>
      </c>
      <c r="C142" s="271">
        <v>1403</v>
      </c>
      <c r="D142" s="271">
        <v>21</v>
      </c>
      <c r="E142" s="271" t="s">
        <v>630</v>
      </c>
      <c r="F142" s="271" t="s">
        <v>631</v>
      </c>
      <c r="G142" s="271">
        <v>11</v>
      </c>
      <c r="H142" s="271" t="s">
        <v>632</v>
      </c>
      <c r="I142" s="271" t="s">
        <v>630</v>
      </c>
      <c r="J142" s="271" t="s">
        <v>631</v>
      </c>
      <c r="K142" s="271">
        <v>63</v>
      </c>
      <c r="L142" s="271" t="s">
        <v>632</v>
      </c>
      <c r="M142" s="271" t="s">
        <v>630</v>
      </c>
      <c r="N142" s="271" t="s">
        <v>631</v>
      </c>
      <c r="O142" s="271" t="s">
        <v>630</v>
      </c>
      <c r="P142" s="271" t="s">
        <v>631</v>
      </c>
      <c r="Q142" s="271" t="s">
        <v>630</v>
      </c>
      <c r="R142" s="271" t="s">
        <v>631</v>
      </c>
      <c r="S142" s="271" t="s">
        <v>630</v>
      </c>
      <c r="T142" s="271" t="s">
        <v>631</v>
      </c>
      <c r="U142" s="271">
        <v>80</v>
      </c>
      <c r="V142" s="271" t="s">
        <v>631</v>
      </c>
      <c r="W142" s="271">
        <v>59</v>
      </c>
      <c r="X142" s="271" t="s">
        <v>631</v>
      </c>
      <c r="Y142" s="271" t="s">
        <v>630</v>
      </c>
      <c r="Z142" s="271" t="s">
        <v>631</v>
      </c>
      <c r="AA142" s="271" t="s">
        <v>630</v>
      </c>
      <c r="AB142" s="271" t="s">
        <v>631</v>
      </c>
      <c r="AC142" s="263"/>
      <c r="AD142" s="263"/>
    </row>
    <row r="143" spans="1:30" x14ac:dyDescent="0.2">
      <c r="A143" s="263"/>
      <c r="B143" s="270" t="s">
        <v>734</v>
      </c>
      <c r="C143" s="271">
        <v>5804</v>
      </c>
      <c r="D143" s="271">
        <v>19</v>
      </c>
      <c r="E143" s="271" t="s">
        <v>630</v>
      </c>
      <c r="F143" s="271" t="s">
        <v>631</v>
      </c>
      <c r="G143" s="271">
        <v>11</v>
      </c>
      <c r="H143" s="271" t="s">
        <v>631</v>
      </c>
      <c r="I143" s="271">
        <v>15</v>
      </c>
      <c r="J143" s="271" t="s">
        <v>631</v>
      </c>
      <c r="K143" s="271">
        <v>67</v>
      </c>
      <c r="L143" s="271" t="s">
        <v>631</v>
      </c>
      <c r="M143" s="271" t="s">
        <v>630</v>
      </c>
      <c r="N143" s="271" t="s">
        <v>631</v>
      </c>
      <c r="O143" s="271" t="s">
        <v>630</v>
      </c>
      <c r="P143" s="271" t="s">
        <v>631</v>
      </c>
      <c r="Q143" s="271" t="s">
        <v>630</v>
      </c>
      <c r="R143" s="271" t="s">
        <v>631</v>
      </c>
      <c r="S143" s="271">
        <v>92</v>
      </c>
      <c r="T143" s="271" t="s">
        <v>631</v>
      </c>
      <c r="U143" s="271">
        <v>100</v>
      </c>
      <c r="V143" s="271" t="s">
        <v>631</v>
      </c>
      <c r="W143" s="271">
        <v>74</v>
      </c>
      <c r="X143" s="271" t="s">
        <v>631</v>
      </c>
      <c r="Y143" s="271" t="s">
        <v>630</v>
      </c>
      <c r="Z143" s="271" t="s">
        <v>631</v>
      </c>
      <c r="AA143" s="271">
        <v>21</v>
      </c>
      <c r="AB143" s="271" t="s">
        <v>631</v>
      </c>
      <c r="AC143" s="263"/>
      <c r="AD143" s="263"/>
    </row>
    <row r="144" spans="1:30" x14ac:dyDescent="0.2">
      <c r="A144" s="263"/>
      <c r="B144" s="270" t="s">
        <v>735</v>
      </c>
      <c r="C144" s="271">
        <v>21111</v>
      </c>
      <c r="D144" s="271">
        <v>21</v>
      </c>
      <c r="E144" s="271" t="s">
        <v>630</v>
      </c>
      <c r="F144" s="271" t="s">
        <v>631</v>
      </c>
      <c r="G144" s="271">
        <v>10</v>
      </c>
      <c r="H144" s="271" t="s">
        <v>631</v>
      </c>
      <c r="I144" s="271">
        <v>8</v>
      </c>
      <c r="J144" s="271" t="s">
        <v>631</v>
      </c>
      <c r="K144" s="271">
        <v>53</v>
      </c>
      <c r="L144" s="271" t="s">
        <v>632</v>
      </c>
      <c r="M144" s="271" t="s">
        <v>630</v>
      </c>
      <c r="N144" s="271" t="s">
        <v>631</v>
      </c>
      <c r="O144" s="271">
        <v>15</v>
      </c>
      <c r="P144" s="271" t="s">
        <v>631</v>
      </c>
      <c r="Q144" s="271" t="s">
        <v>630</v>
      </c>
      <c r="R144" s="271" t="s">
        <v>631</v>
      </c>
      <c r="S144" s="271">
        <v>94</v>
      </c>
      <c r="T144" s="271" t="s">
        <v>631</v>
      </c>
      <c r="U144" s="271">
        <v>87</v>
      </c>
      <c r="V144" s="271" t="s">
        <v>631</v>
      </c>
      <c r="W144" s="271">
        <v>76</v>
      </c>
      <c r="X144" s="271" t="s">
        <v>631</v>
      </c>
      <c r="Y144" s="271" t="s">
        <v>630</v>
      </c>
      <c r="Z144" s="271" t="s">
        <v>631</v>
      </c>
      <c r="AA144" s="271">
        <v>19</v>
      </c>
      <c r="AB144" s="271" t="s">
        <v>632</v>
      </c>
      <c r="AC144" s="263"/>
      <c r="AD144" s="263"/>
    </row>
    <row r="145" spans="1:30" x14ac:dyDescent="0.2">
      <c r="A145" s="263"/>
      <c r="B145" s="270" t="s">
        <v>126</v>
      </c>
      <c r="C145" s="271">
        <v>3979</v>
      </c>
      <c r="D145" s="271">
        <v>10</v>
      </c>
      <c r="E145" s="271" t="s">
        <v>630</v>
      </c>
      <c r="F145" s="271" t="s">
        <v>631</v>
      </c>
      <c r="G145" s="271" t="s">
        <v>630</v>
      </c>
      <c r="H145" s="271" t="s">
        <v>631</v>
      </c>
      <c r="I145" s="271" t="s">
        <v>630</v>
      </c>
      <c r="J145" s="271" t="s">
        <v>631</v>
      </c>
      <c r="K145" s="271">
        <v>14</v>
      </c>
      <c r="L145" s="271" t="s">
        <v>631</v>
      </c>
      <c r="M145" s="271" t="s">
        <v>630</v>
      </c>
      <c r="N145" s="271" t="s">
        <v>631</v>
      </c>
      <c r="O145" s="271" t="s">
        <v>630</v>
      </c>
      <c r="P145" s="271" t="s">
        <v>631</v>
      </c>
      <c r="Q145" s="271" t="s">
        <v>630</v>
      </c>
      <c r="R145" s="271" t="s">
        <v>631</v>
      </c>
      <c r="S145" s="271" t="s">
        <v>630</v>
      </c>
      <c r="T145" s="271" t="s">
        <v>631</v>
      </c>
      <c r="U145" s="271">
        <v>98</v>
      </c>
      <c r="V145" s="271" t="s">
        <v>631</v>
      </c>
      <c r="W145" s="271">
        <v>97</v>
      </c>
      <c r="X145" s="271" t="s">
        <v>631</v>
      </c>
      <c r="Y145" s="271" t="s">
        <v>630</v>
      </c>
      <c r="Z145" s="271" t="s">
        <v>631</v>
      </c>
      <c r="AA145" s="271" t="s">
        <v>630</v>
      </c>
      <c r="AB145" s="271" t="s">
        <v>631</v>
      </c>
      <c r="AC145" s="263"/>
      <c r="AD145" s="263"/>
    </row>
    <row r="146" spans="1:30" x14ac:dyDescent="0.2">
      <c r="A146" s="263"/>
      <c r="B146" s="270" t="s">
        <v>127</v>
      </c>
      <c r="C146" s="271">
        <v>1095</v>
      </c>
      <c r="D146" s="271">
        <v>10</v>
      </c>
      <c r="E146" s="271" t="s">
        <v>630</v>
      </c>
      <c r="F146" s="271" t="s">
        <v>631</v>
      </c>
      <c r="G146" s="271" t="s">
        <v>630</v>
      </c>
      <c r="H146" s="271" t="s">
        <v>631</v>
      </c>
      <c r="I146" s="271" t="s">
        <v>630</v>
      </c>
      <c r="J146" s="271" t="s">
        <v>631</v>
      </c>
      <c r="K146" s="271">
        <v>13</v>
      </c>
      <c r="L146" s="271" t="s">
        <v>631</v>
      </c>
      <c r="M146" s="271" t="s">
        <v>630</v>
      </c>
      <c r="N146" s="271" t="s">
        <v>631</v>
      </c>
      <c r="O146" s="271" t="s">
        <v>630</v>
      </c>
      <c r="P146" s="271" t="s">
        <v>631</v>
      </c>
      <c r="Q146" s="271" t="s">
        <v>630</v>
      </c>
      <c r="R146" s="271" t="s">
        <v>631</v>
      </c>
      <c r="S146" s="271" t="s">
        <v>630</v>
      </c>
      <c r="T146" s="271" t="s">
        <v>631</v>
      </c>
      <c r="U146" s="271">
        <v>119</v>
      </c>
      <c r="V146" s="271" t="s">
        <v>631</v>
      </c>
      <c r="W146" s="271">
        <v>106</v>
      </c>
      <c r="X146" s="271" t="s">
        <v>631</v>
      </c>
      <c r="Y146" s="271" t="s">
        <v>630</v>
      </c>
      <c r="Z146" s="271" t="s">
        <v>631</v>
      </c>
      <c r="AA146" s="271" t="s">
        <v>630</v>
      </c>
      <c r="AB146" s="271" t="s">
        <v>631</v>
      </c>
      <c r="AC146" s="263"/>
      <c r="AD146" s="263"/>
    </row>
    <row r="147" spans="1:30" x14ac:dyDescent="0.2">
      <c r="A147" s="263"/>
      <c r="B147" s="270" t="s">
        <v>736</v>
      </c>
      <c r="C147" s="271">
        <v>183</v>
      </c>
      <c r="D147" s="271">
        <v>8</v>
      </c>
      <c r="E147" s="271" t="s">
        <v>630</v>
      </c>
      <c r="F147" s="271" t="s">
        <v>631</v>
      </c>
      <c r="G147" s="271" t="s">
        <v>630</v>
      </c>
      <c r="H147" s="271" t="s">
        <v>631</v>
      </c>
      <c r="I147" s="271" t="s">
        <v>630</v>
      </c>
      <c r="J147" s="271" t="s">
        <v>631</v>
      </c>
      <c r="K147" s="271">
        <v>20</v>
      </c>
      <c r="L147" s="271" t="s">
        <v>631</v>
      </c>
      <c r="M147" s="271" t="s">
        <v>630</v>
      </c>
      <c r="N147" s="271" t="s">
        <v>631</v>
      </c>
      <c r="O147" s="271" t="s">
        <v>630</v>
      </c>
      <c r="P147" s="271" t="s">
        <v>631</v>
      </c>
      <c r="Q147" s="271" t="s">
        <v>630</v>
      </c>
      <c r="R147" s="271" t="s">
        <v>631</v>
      </c>
      <c r="S147" s="271" t="s">
        <v>630</v>
      </c>
      <c r="T147" s="271" t="s">
        <v>631</v>
      </c>
      <c r="U147" s="271">
        <v>101</v>
      </c>
      <c r="V147" s="271" t="s">
        <v>631</v>
      </c>
      <c r="W147" s="271">
        <v>102</v>
      </c>
      <c r="X147" s="271" t="s">
        <v>631</v>
      </c>
      <c r="Y147" s="271" t="s">
        <v>630</v>
      </c>
      <c r="Z147" s="271" t="s">
        <v>631</v>
      </c>
      <c r="AA147" s="271" t="s">
        <v>630</v>
      </c>
      <c r="AB147" s="271" t="s">
        <v>631</v>
      </c>
      <c r="AC147" s="263"/>
      <c r="AD147" s="263"/>
    </row>
    <row r="148" spans="1:30" x14ac:dyDescent="0.2">
      <c r="A148" s="263"/>
      <c r="B148" s="270" t="s">
        <v>737</v>
      </c>
      <c r="C148" s="271">
        <v>6138</v>
      </c>
      <c r="D148" s="271">
        <v>12</v>
      </c>
      <c r="E148" s="271" t="s">
        <v>630</v>
      </c>
      <c r="F148" s="271" t="s">
        <v>631</v>
      </c>
      <c r="G148" s="271" t="s">
        <v>630</v>
      </c>
      <c r="H148" s="271" t="s">
        <v>631</v>
      </c>
      <c r="I148" s="271" t="s">
        <v>630</v>
      </c>
      <c r="J148" s="271" t="s">
        <v>631</v>
      </c>
      <c r="K148" s="271">
        <v>2</v>
      </c>
      <c r="L148" s="271" t="s">
        <v>631</v>
      </c>
      <c r="M148" s="271" t="s">
        <v>630</v>
      </c>
      <c r="N148" s="271" t="s">
        <v>631</v>
      </c>
      <c r="O148" s="271" t="s">
        <v>630</v>
      </c>
      <c r="P148" s="271" t="s">
        <v>631</v>
      </c>
      <c r="Q148" s="271" t="s">
        <v>630</v>
      </c>
      <c r="R148" s="271" t="s">
        <v>631</v>
      </c>
      <c r="S148" s="271" t="s">
        <v>630</v>
      </c>
      <c r="T148" s="271" t="s">
        <v>631</v>
      </c>
      <c r="U148" s="271">
        <v>100</v>
      </c>
      <c r="V148" s="271" t="s">
        <v>631</v>
      </c>
      <c r="W148" s="271">
        <v>95</v>
      </c>
      <c r="X148" s="271" t="s">
        <v>631</v>
      </c>
      <c r="Y148" s="271" t="s">
        <v>630</v>
      </c>
      <c r="Z148" s="271" t="s">
        <v>631</v>
      </c>
      <c r="AA148" s="271" t="s">
        <v>630</v>
      </c>
      <c r="AB148" s="271" t="s">
        <v>631</v>
      </c>
      <c r="AC148" s="263"/>
      <c r="AD148" s="263"/>
    </row>
    <row r="149" spans="1:30" x14ac:dyDescent="0.2">
      <c r="A149" s="263"/>
      <c r="B149" s="273" t="s">
        <v>128</v>
      </c>
      <c r="C149" s="271">
        <v>396</v>
      </c>
      <c r="D149" s="271">
        <v>11</v>
      </c>
      <c r="E149" s="271">
        <v>1</v>
      </c>
      <c r="F149" s="271" t="s">
        <v>631</v>
      </c>
      <c r="G149" s="271">
        <v>10</v>
      </c>
      <c r="H149" s="271" t="s">
        <v>631</v>
      </c>
      <c r="I149" s="271">
        <v>4</v>
      </c>
      <c r="J149" s="271" t="s">
        <v>631</v>
      </c>
      <c r="K149" s="271">
        <v>26</v>
      </c>
      <c r="L149" s="271" t="s">
        <v>631</v>
      </c>
      <c r="M149" s="271">
        <v>14</v>
      </c>
      <c r="N149" s="271" t="s">
        <v>631</v>
      </c>
      <c r="O149" s="271">
        <v>13</v>
      </c>
      <c r="P149" s="271" t="s">
        <v>631</v>
      </c>
      <c r="Q149" s="271">
        <v>99</v>
      </c>
      <c r="R149" s="271" t="s">
        <v>631</v>
      </c>
      <c r="S149" s="271">
        <v>98</v>
      </c>
      <c r="T149" s="271" t="s">
        <v>631</v>
      </c>
      <c r="U149" s="271">
        <v>88</v>
      </c>
      <c r="V149" s="271" t="s">
        <v>631</v>
      </c>
      <c r="W149" s="271">
        <v>90</v>
      </c>
      <c r="X149" s="271" t="s">
        <v>631</v>
      </c>
      <c r="Y149" s="271" t="s">
        <v>630</v>
      </c>
      <c r="Z149" s="271" t="s">
        <v>631</v>
      </c>
      <c r="AA149" s="271" t="s">
        <v>630</v>
      </c>
      <c r="AB149" s="271" t="s">
        <v>631</v>
      </c>
      <c r="AC149" s="263"/>
      <c r="AD149" s="263"/>
    </row>
    <row r="150" spans="1:30" x14ac:dyDescent="0.2">
      <c r="A150" s="263"/>
      <c r="B150" s="270" t="s">
        <v>129</v>
      </c>
      <c r="C150" s="271">
        <v>2203</v>
      </c>
      <c r="D150" s="271">
        <v>10</v>
      </c>
      <c r="E150" s="271" t="s">
        <v>630</v>
      </c>
      <c r="F150" s="271" t="s">
        <v>631</v>
      </c>
      <c r="G150" s="271" t="s">
        <v>630</v>
      </c>
      <c r="H150" s="271" t="s">
        <v>631</v>
      </c>
      <c r="I150" s="271" t="s">
        <v>630</v>
      </c>
      <c r="J150" s="271" t="s">
        <v>631</v>
      </c>
      <c r="K150" s="271">
        <v>35</v>
      </c>
      <c r="L150" s="271" t="s">
        <v>631</v>
      </c>
      <c r="M150" s="271" t="s">
        <v>630</v>
      </c>
      <c r="N150" s="271" t="s">
        <v>631</v>
      </c>
      <c r="O150" s="271" t="s">
        <v>630</v>
      </c>
      <c r="P150" s="271" t="s">
        <v>631</v>
      </c>
      <c r="Q150" s="271" t="s">
        <v>630</v>
      </c>
      <c r="R150" s="271" t="s">
        <v>631</v>
      </c>
      <c r="S150" s="271" t="s">
        <v>630</v>
      </c>
      <c r="T150" s="271" t="s">
        <v>631</v>
      </c>
      <c r="U150" s="271">
        <v>92</v>
      </c>
      <c r="V150" s="271" t="s">
        <v>631</v>
      </c>
      <c r="W150" s="271">
        <v>98</v>
      </c>
      <c r="X150" s="271" t="s">
        <v>631</v>
      </c>
      <c r="Y150" s="271" t="s">
        <v>630</v>
      </c>
      <c r="Z150" s="271" t="s">
        <v>631</v>
      </c>
      <c r="AA150" s="271" t="s">
        <v>630</v>
      </c>
      <c r="AB150" s="271" t="s">
        <v>631</v>
      </c>
      <c r="AC150" s="263"/>
      <c r="AD150" s="263"/>
    </row>
    <row r="151" spans="1:30" x14ac:dyDescent="0.2">
      <c r="A151" s="263"/>
      <c r="B151" s="270" t="s">
        <v>130</v>
      </c>
      <c r="C151" s="271">
        <v>13764</v>
      </c>
      <c r="D151" s="271">
        <v>10</v>
      </c>
      <c r="E151" s="271" t="s">
        <v>630</v>
      </c>
      <c r="F151" s="271" t="s">
        <v>631</v>
      </c>
      <c r="G151" s="271" t="s">
        <v>630</v>
      </c>
      <c r="H151" s="271" t="s">
        <v>631</v>
      </c>
      <c r="I151" s="271" t="s">
        <v>630</v>
      </c>
      <c r="J151" s="271" t="s">
        <v>631</v>
      </c>
      <c r="K151" s="271">
        <v>26</v>
      </c>
      <c r="L151" s="271" t="s">
        <v>631</v>
      </c>
      <c r="M151" s="271" t="s">
        <v>630</v>
      </c>
      <c r="N151" s="271" t="s">
        <v>631</v>
      </c>
      <c r="O151" s="271" t="s">
        <v>630</v>
      </c>
      <c r="P151" s="271" t="s">
        <v>631</v>
      </c>
      <c r="Q151" s="271" t="s">
        <v>630</v>
      </c>
      <c r="R151" s="271" t="s">
        <v>631</v>
      </c>
      <c r="S151" s="271" t="s">
        <v>630</v>
      </c>
      <c r="T151" s="271" t="s">
        <v>631</v>
      </c>
      <c r="U151" s="271">
        <v>94</v>
      </c>
      <c r="V151" s="271" t="s">
        <v>631</v>
      </c>
      <c r="W151" s="271">
        <v>98</v>
      </c>
      <c r="X151" s="271" t="s">
        <v>631</v>
      </c>
      <c r="Y151" s="271" t="s">
        <v>630</v>
      </c>
      <c r="Z151" s="271" t="s">
        <v>631</v>
      </c>
      <c r="AA151" s="271" t="s">
        <v>630</v>
      </c>
      <c r="AB151" s="271" t="s">
        <v>631</v>
      </c>
      <c r="AC151" s="263"/>
      <c r="AD151" s="263"/>
    </row>
    <row r="152" spans="1:30" x14ac:dyDescent="0.2">
      <c r="A152" s="263"/>
      <c r="B152" s="270" t="s">
        <v>738</v>
      </c>
      <c r="C152" s="271">
        <v>2876</v>
      </c>
      <c r="D152" s="271">
        <v>24</v>
      </c>
      <c r="E152" s="271" t="s">
        <v>630</v>
      </c>
      <c r="F152" s="271" t="s">
        <v>631</v>
      </c>
      <c r="G152" s="271">
        <v>4</v>
      </c>
      <c r="H152" s="271" t="s">
        <v>631</v>
      </c>
      <c r="I152" s="271">
        <v>5</v>
      </c>
      <c r="J152" s="271" t="s">
        <v>631</v>
      </c>
      <c r="K152" s="271">
        <v>41</v>
      </c>
      <c r="L152" s="271" t="s">
        <v>631</v>
      </c>
      <c r="M152" s="271">
        <v>35</v>
      </c>
      <c r="N152" s="271" t="s">
        <v>631</v>
      </c>
      <c r="O152" s="271">
        <v>56</v>
      </c>
      <c r="P152" s="271" t="s">
        <v>631</v>
      </c>
      <c r="Q152" s="271">
        <v>88</v>
      </c>
      <c r="R152" s="271" t="s">
        <v>631</v>
      </c>
      <c r="S152" s="271">
        <v>73</v>
      </c>
      <c r="T152" s="271" t="s">
        <v>631</v>
      </c>
      <c r="U152" s="271">
        <v>37</v>
      </c>
      <c r="V152" s="271" t="s">
        <v>631</v>
      </c>
      <c r="W152" s="271">
        <v>25</v>
      </c>
      <c r="X152" s="271" t="s">
        <v>631</v>
      </c>
      <c r="Y152" s="271">
        <v>44</v>
      </c>
      <c r="Z152" s="271" t="s">
        <v>631</v>
      </c>
      <c r="AA152" s="271">
        <v>49</v>
      </c>
      <c r="AB152" s="271" t="s">
        <v>631</v>
      </c>
      <c r="AC152" s="263"/>
      <c r="AD152" s="263"/>
    </row>
    <row r="153" spans="1:30" x14ac:dyDescent="0.2">
      <c r="A153" s="263"/>
      <c r="B153" s="270" t="s">
        <v>739</v>
      </c>
      <c r="C153" s="271" t="s">
        <v>630</v>
      </c>
      <c r="D153" s="271" t="s">
        <v>630</v>
      </c>
      <c r="E153" s="271" t="s">
        <v>630</v>
      </c>
      <c r="F153" s="271" t="s">
        <v>631</v>
      </c>
      <c r="G153" s="271" t="s">
        <v>630</v>
      </c>
      <c r="H153" s="271" t="s">
        <v>631</v>
      </c>
      <c r="I153" s="271" t="s">
        <v>630</v>
      </c>
      <c r="J153" s="271" t="s">
        <v>631</v>
      </c>
      <c r="K153" s="271">
        <v>75</v>
      </c>
      <c r="L153" s="271" t="s">
        <v>632</v>
      </c>
      <c r="M153" s="271" t="s">
        <v>630</v>
      </c>
      <c r="N153" s="271" t="s">
        <v>631</v>
      </c>
      <c r="O153" s="271" t="s">
        <v>630</v>
      </c>
      <c r="P153" s="271" t="s">
        <v>631</v>
      </c>
      <c r="Q153" s="271" t="s">
        <v>630</v>
      </c>
      <c r="R153" s="271" t="s">
        <v>631</v>
      </c>
      <c r="S153" s="271" t="s">
        <v>630</v>
      </c>
      <c r="T153" s="271" t="s">
        <v>631</v>
      </c>
      <c r="U153" s="271">
        <v>99</v>
      </c>
      <c r="V153" s="271" t="s">
        <v>631</v>
      </c>
      <c r="W153" s="271">
        <v>87</v>
      </c>
      <c r="X153" s="271" t="s">
        <v>631</v>
      </c>
      <c r="Y153" s="271">
        <v>55</v>
      </c>
      <c r="Z153" s="271" t="s">
        <v>631</v>
      </c>
      <c r="AA153" s="271">
        <v>54</v>
      </c>
      <c r="AB153" s="271" t="s">
        <v>631</v>
      </c>
      <c r="AC153" s="263"/>
      <c r="AD153" s="263"/>
    </row>
    <row r="154" spans="1:30" x14ac:dyDescent="0.2">
      <c r="A154" s="263"/>
      <c r="B154" s="270" t="s">
        <v>740</v>
      </c>
      <c r="C154" s="271">
        <v>32</v>
      </c>
      <c r="D154" s="271">
        <v>17</v>
      </c>
      <c r="E154" s="271" t="s">
        <v>630</v>
      </c>
      <c r="F154" s="271" t="s">
        <v>631</v>
      </c>
      <c r="G154" s="271">
        <v>4</v>
      </c>
      <c r="H154" s="271" t="s">
        <v>631</v>
      </c>
      <c r="I154" s="271" t="s">
        <v>630</v>
      </c>
      <c r="J154" s="271" t="s">
        <v>631</v>
      </c>
      <c r="K154" s="271">
        <v>50</v>
      </c>
      <c r="L154" s="271" t="s">
        <v>632</v>
      </c>
      <c r="M154" s="271" t="s">
        <v>630</v>
      </c>
      <c r="N154" s="271" t="s">
        <v>631</v>
      </c>
      <c r="O154" s="271">
        <v>15</v>
      </c>
      <c r="P154" s="271" t="s">
        <v>631</v>
      </c>
      <c r="Q154" s="271" t="s">
        <v>630</v>
      </c>
      <c r="R154" s="271" t="s">
        <v>631</v>
      </c>
      <c r="S154" s="271">
        <v>99</v>
      </c>
      <c r="T154" s="271" t="s">
        <v>631</v>
      </c>
      <c r="U154" s="271">
        <v>91</v>
      </c>
      <c r="V154" s="271" t="s">
        <v>631</v>
      </c>
      <c r="W154" s="271">
        <v>91</v>
      </c>
      <c r="X154" s="271" t="s">
        <v>631</v>
      </c>
      <c r="Y154" s="271" t="s">
        <v>630</v>
      </c>
      <c r="Z154" s="271" t="s">
        <v>631</v>
      </c>
      <c r="AA154" s="271">
        <v>58</v>
      </c>
      <c r="AB154" s="271" t="s">
        <v>631</v>
      </c>
      <c r="AC154" s="263"/>
      <c r="AD154" s="263"/>
    </row>
    <row r="155" spans="1:30" x14ac:dyDescent="0.2">
      <c r="A155" s="263"/>
      <c r="B155" s="270" t="s">
        <v>741</v>
      </c>
      <c r="C155" s="271">
        <v>20</v>
      </c>
      <c r="D155" s="271">
        <v>18</v>
      </c>
      <c r="E155" s="271" t="s">
        <v>630</v>
      </c>
      <c r="F155" s="271" t="s">
        <v>631</v>
      </c>
      <c r="G155" s="271" t="s">
        <v>630</v>
      </c>
      <c r="H155" s="271" t="s">
        <v>631</v>
      </c>
      <c r="I155" s="271" t="s">
        <v>630</v>
      </c>
      <c r="J155" s="271" t="s">
        <v>631</v>
      </c>
      <c r="K155" s="271">
        <v>70</v>
      </c>
      <c r="L155" s="271" t="s">
        <v>631</v>
      </c>
      <c r="M155" s="271" t="s">
        <v>630</v>
      </c>
      <c r="N155" s="271" t="s">
        <v>631</v>
      </c>
      <c r="O155" s="271" t="s">
        <v>630</v>
      </c>
      <c r="P155" s="271" t="s">
        <v>631</v>
      </c>
      <c r="Q155" s="271" t="s">
        <v>630</v>
      </c>
      <c r="R155" s="271" t="s">
        <v>631</v>
      </c>
      <c r="S155" s="271" t="s">
        <v>630</v>
      </c>
      <c r="T155" s="271" t="s">
        <v>631</v>
      </c>
      <c r="U155" s="271">
        <v>110</v>
      </c>
      <c r="V155" s="271" t="s">
        <v>631</v>
      </c>
      <c r="W155" s="271">
        <v>88</v>
      </c>
      <c r="X155" s="271" t="s">
        <v>631</v>
      </c>
      <c r="Y155" s="271" t="s">
        <v>630</v>
      </c>
      <c r="Z155" s="271" t="s">
        <v>631</v>
      </c>
      <c r="AA155" s="271" t="s">
        <v>630</v>
      </c>
      <c r="AB155" s="271" t="s">
        <v>631</v>
      </c>
      <c r="AC155" s="263"/>
      <c r="AD155" s="263"/>
    </row>
    <row r="156" spans="1:30" x14ac:dyDescent="0.2">
      <c r="A156" s="263"/>
      <c r="B156" s="270" t="s">
        <v>742</v>
      </c>
      <c r="C156" s="271">
        <v>42</v>
      </c>
      <c r="D156" s="271">
        <v>22</v>
      </c>
      <c r="E156" s="271">
        <v>1</v>
      </c>
      <c r="F156" s="271" t="s">
        <v>631</v>
      </c>
      <c r="G156" s="271">
        <v>7</v>
      </c>
      <c r="H156" s="271" t="s">
        <v>631</v>
      </c>
      <c r="I156" s="271">
        <v>5</v>
      </c>
      <c r="J156" s="271" t="s">
        <v>631</v>
      </c>
      <c r="K156" s="271">
        <v>39</v>
      </c>
      <c r="L156" s="271" t="s">
        <v>631</v>
      </c>
      <c r="M156" s="271">
        <v>50</v>
      </c>
      <c r="N156" s="271" t="s">
        <v>631</v>
      </c>
      <c r="O156" s="271">
        <v>58</v>
      </c>
      <c r="P156" s="271" t="s">
        <v>631</v>
      </c>
      <c r="Q156" s="271">
        <v>97</v>
      </c>
      <c r="R156" s="271" t="s">
        <v>631</v>
      </c>
      <c r="S156" s="271">
        <v>97</v>
      </c>
      <c r="T156" s="271" t="s">
        <v>631</v>
      </c>
      <c r="U156" s="271">
        <v>103</v>
      </c>
      <c r="V156" s="271" t="s">
        <v>631</v>
      </c>
      <c r="W156" s="271">
        <v>78</v>
      </c>
      <c r="X156" s="271" t="s">
        <v>631</v>
      </c>
      <c r="Y156" s="271">
        <v>5</v>
      </c>
      <c r="Z156" s="271" t="s">
        <v>631</v>
      </c>
      <c r="AA156" s="271">
        <v>2</v>
      </c>
      <c r="AB156" s="271" t="s">
        <v>631</v>
      </c>
      <c r="AC156" s="263"/>
      <c r="AD156" s="263"/>
    </row>
    <row r="157" spans="1:30" x14ac:dyDescent="0.2">
      <c r="A157" s="263"/>
      <c r="B157" s="270" t="s">
        <v>33</v>
      </c>
      <c r="C157" s="271" t="s">
        <v>630</v>
      </c>
      <c r="D157" s="271" t="s">
        <v>630</v>
      </c>
      <c r="E157" s="271" t="s">
        <v>630</v>
      </c>
      <c r="F157" s="271" t="s">
        <v>631</v>
      </c>
      <c r="G157" s="271" t="s">
        <v>630</v>
      </c>
      <c r="H157" s="271" t="s">
        <v>631</v>
      </c>
      <c r="I157" s="271" t="s">
        <v>630</v>
      </c>
      <c r="J157" s="271" t="s">
        <v>631</v>
      </c>
      <c r="K157" s="271">
        <v>1</v>
      </c>
      <c r="L157" s="271" t="s">
        <v>631</v>
      </c>
      <c r="M157" s="271" t="s">
        <v>630</v>
      </c>
      <c r="N157" s="271" t="s">
        <v>631</v>
      </c>
      <c r="O157" s="271" t="s">
        <v>630</v>
      </c>
      <c r="P157" s="271" t="s">
        <v>631</v>
      </c>
      <c r="Q157" s="271" t="s">
        <v>630</v>
      </c>
      <c r="R157" s="271" t="s">
        <v>631</v>
      </c>
      <c r="S157" s="271" t="s">
        <v>630</v>
      </c>
      <c r="T157" s="271" t="s">
        <v>631</v>
      </c>
      <c r="U157" s="271">
        <v>94</v>
      </c>
      <c r="V157" s="271" t="s">
        <v>631</v>
      </c>
      <c r="W157" s="271">
        <v>95</v>
      </c>
      <c r="X157" s="271" t="s">
        <v>631</v>
      </c>
      <c r="Y157" s="271" t="s">
        <v>630</v>
      </c>
      <c r="Z157" s="271" t="s">
        <v>631</v>
      </c>
      <c r="AA157" s="271" t="s">
        <v>630</v>
      </c>
      <c r="AB157" s="271" t="s">
        <v>631</v>
      </c>
      <c r="AC157" s="263"/>
      <c r="AD157" s="263"/>
    </row>
    <row r="158" spans="1:30" x14ac:dyDescent="0.2">
      <c r="A158" s="263"/>
      <c r="B158" s="270" t="s">
        <v>743</v>
      </c>
      <c r="C158" s="271">
        <v>41</v>
      </c>
      <c r="D158" s="271">
        <v>21</v>
      </c>
      <c r="E158" s="271">
        <v>1</v>
      </c>
      <c r="F158" s="271" t="s">
        <v>631</v>
      </c>
      <c r="G158" s="271">
        <v>20</v>
      </c>
      <c r="H158" s="271" t="s">
        <v>631</v>
      </c>
      <c r="I158" s="271">
        <v>25</v>
      </c>
      <c r="J158" s="271" t="s">
        <v>631</v>
      </c>
      <c r="K158" s="271">
        <v>110</v>
      </c>
      <c r="L158" s="271" t="s">
        <v>632</v>
      </c>
      <c r="M158" s="271">
        <v>25</v>
      </c>
      <c r="N158" s="271" t="s">
        <v>631</v>
      </c>
      <c r="O158" s="271">
        <v>23</v>
      </c>
      <c r="P158" s="271" t="s">
        <v>631</v>
      </c>
      <c r="Q158" s="271">
        <v>96</v>
      </c>
      <c r="R158" s="271" t="s">
        <v>631</v>
      </c>
      <c r="S158" s="271">
        <v>95</v>
      </c>
      <c r="T158" s="271" t="s">
        <v>631</v>
      </c>
      <c r="U158" s="271">
        <v>101</v>
      </c>
      <c r="V158" s="271" t="s">
        <v>631</v>
      </c>
      <c r="W158" s="271">
        <v>26</v>
      </c>
      <c r="X158" s="271" t="s">
        <v>631</v>
      </c>
      <c r="Y158" s="271">
        <v>39</v>
      </c>
      <c r="Z158" s="271" t="s">
        <v>631</v>
      </c>
      <c r="AA158" s="271">
        <v>39</v>
      </c>
      <c r="AB158" s="271" t="s">
        <v>631</v>
      </c>
      <c r="AC158" s="263"/>
      <c r="AD158" s="263"/>
    </row>
    <row r="159" spans="1:30" x14ac:dyDescent="0.2">
      <c r="A159" s="263"/>
      <c r="B159" s="270" t="s">
        <v>744</v>
      </c>
      <c r="C159" s="271">
        <v>4714</v>
      </c>
      <c r="D159" s="271">
        <v>16</v>
      </c>
      <c r="E159" s="271" t="s">
        <v>630</v>
      </c>
      <c r="F159" s="271" t="s">
        <v>631</v>
      </c>
      <c r="G159" s="271" t="s">
        <v>630</v>
      </c>
      <c r="H159" s="271" t="s">
        <v>631</v>
      </c>
      <c r="I159" s="271" t="s">
        <v>630</v>
      </c>
      <c r="J159" s="271" t="s">
        <v>631</v>
      </c>
      <c r="K159" s="271">
        <v>7</v>
      </c>
      <c r="L159" s="271" t="s">
        <v>632</v>
      </c>
      <c r="M159" s="271" t="s">
        <v>630</v>
      </c>
      <c r="N159" s="271" t="s">
        <v>631</v>
      </c>
      <c r="O159" s="271" t="s">
        <v>630</v>
      </c>
      <c r="P159" s="271" t="s">
        <v>631</v>
      </c>
      <c r="Q159" s="271" t="s">
        <v>630</v>
      </c>
      <c r="R159" s="271" t="s">
        <v>631</v>
      </c>
      <c r="S159" s="271" t="s">
        <v>630</v>
      </c>
      <c r="T159" s="271" t="s">
        <v>631</v>
      </c>
      <c r="U159" s="271">
        <v>118</v>
      </c>
      <c r="V159" s="271" t="s">
        <v>631</v>
      </c>
      <c r="W159" s="271">
        <v>110</v>
      </c>
      <c r="X159" s="271" t="s">
        <v>631</v>
      </c>
      <c r="Y159" s="271" t="s">
        <v>630</v>
      </c>
      <c r="Z159" s="271" t="s">
        <v>631</v>
      </c>
      <c r="AA159" s="271" t="s">
        <v>630</v>
      </c>
      <c r="AB159" s="271" t="s">
        <v>631</v>
      </c>
      <c r="AC159" s="263"/>
      <c r="AD159" s="263"/>
    </row>
    <row r="160" spans="1:30" x14ac:dyDescent="0.2">
      <c r="A160" s="263"/>
      <c r="B160" s="270" t="s">
        <v>745</v>
      </c>
      <c r="C160" s="271">
        <v>3244</v>
      </c>
      <c r="D160" s="271">
        <v>23</v>
      </c>
      <c r="E160" s="271">
        <v>1</v>
      </c>
      <c r="F160" s="271" t="s">
        <v>631</v>
      </c>
      <c r="G160" s="271">
        <v>24</v>
      </c>
      <c r="H160" s="271" t="s">
        <v>631</v>
      </c>
      <c r="I160" s="271">
        <v>18</v>
      </c>
      <c r="J160" s="271" t="s">
        <v>631</v>
      </c>
      <c r="K160" s="271">
        <v>80</v>
      </c>
      <c r="L160" s="271" t="s">
        <v>631</v>
      </c>
      <c r="M160" s="271">
        <v>31</v>
      </c>
      <c r="N160" s="271" t="s">
        <v>631</v>
      </c>
      <c r="O160" s="271">
        <v>61</v>
      </c>
      <c r="P160" s="271" t="s">
        <v>631</v>
      </c>
      <c r="Q160" s="271">
        <v>86</v>
      </c>
      <c r="R160" s="271" t="s">
        <v>631</v>
      </c>
      <c r="S160" s="271">
        <v>81</v>
      </c>
      <c r="T160" s="271" t="s">
        <v>631</v>
      </c>
      <c r="U160" s="271">
        <v>40</v>
      </c>
      <c r="V160" s="271" t="s">
        <v>632</v>
      </c>
      <c r="W160" s="271">
        <v>17</v>
      </c>
      <c r="X160" s="271" t="s">
        <v>632</v>
      </c>
      <c r="Y160" s="271">
        <v>28</v>
      </c>
      <c r="Z160" s="271" t="s">
        <v>631</v>
      </c>
      <c r="AA160" s="271">
        <v>26</v>
      </c>
      <c r="AB160" s="271" t="s">
        <v>631</v>
      </c>
      <c r="AC160" s="263"/>
      <c r="AD160" s="263"/>
    </row>
    <row r="161" spans="1:30" x14ac:dyDescent="0.2">
      <c r="A161" s="263"/>
      <c r="B161" s="270" t="s">
        <v>34</v>
      </c>
      <c r="C161" s="271">
        <v>1154</v>
      </c>
      <c r="D161" s="271">
        <v>12</v>
      </c>
      <c r="E161" s="271">
        <v>1</v>
      </c>
      <c r="F161" s="271" t="s">
        <v>631</v>
      </c>
      <c r="G161" s="271">
        <v>5</v>
      </c>
      <c r="H161" s="271" t="s">
        <v>631</v>
      </c>
      <c r="I161" s="271">
        <v>3</v>
      </c>
      <c r="J161" s="271" t="s">
        <v>631</v>
      </c>
      <c r="K161" s="271">
        <v>19</v>
      </c>
      <c r="L161" s="271" t="s">
        <v>631</v>
      </c>
      <c r="M161" s="271">
        <v>6</v>
      </c>
      <c r="N161" s="271" t="s">
        <v>631</v>
      </c>
      <c r="O161" s="271">
        <v>2</v>
      </c>
      <c r="P161" s="271" t="s">
        <v>631</v>
      </c>
      <c r="Q161" s="271">
        <v>99</v>
      </c>
      <c r="R161" s="271" t="s">
        <v>631</v>
      </c>
      <c r="S161" s="271">
        <v>100</v>
      </c>
      <c r="T161" s="271" t="s">
        <v>631</v>
      </c>
      <c r="U161" s="271">
        <v>98</v>
      </c>
      <c r="V161" s="271" t="s">
        <v>631</v>
      </c>
      <c r="W161" s="271">
        <v>86</v>
      </c>
      <c r="X161" s="271" t="s">
        <v>631</v>
      </c>
      <c r="Y161" s="271">
        <v>43</v>
      </c>
      <c r="Z161" s="271" t="s">
        <v>631</v>
      </c>
      <c r="AA161" s="271">
        <v>53</v>
      </c>
      <c r="AB161" s="271" t="s">
        <v>631</v>
      </c>
      <c r="AC161" s="263"/>
      <c r="AD161" s="263"/>
    </row>
    <row r="162" spans="1:30" x14ac:dyDescent="0.2">
      <c r="A162" s="263"/>
      <c r="B162" s="270" t="s">
        <v>746</v>
      </c>
      <c r="C162" s="271">
        <v>14</v>
      </c>
      <c r="D162" s="271">
        <v>15</v>
      </c>
      <c r="E162" s="271" t="s">
        <v>630</v>
      </c>
      <c r="F162" s="271" t="s">
        <v>631</v>
      </c>
      <c r="G162" s="271" t="s">
        <v>630</v>
      </c>
      <c r="H162" s="271" t="s">
        <v>631</v>
      </c>
      <c r="I162" s="271" t="s">
        <v>630</v>
      </c>
      <c r="J162" s="271" t="s">
        <v>631</v>
      </c>
      <c r="K162" s="271">
        <v>70</v>
      </c>
      <c r="L162" s="271" t="s">
        <v>631</v>
      </c>
      <c r="M162" s="271" t="s">
        <v>630</v>
      </c>
      <c r="N162" s="271" t="s">
        <v>631</v>
      </c>
      <c r="O162" s="271" t="s">
        <v>630</v>
      </c>
      <c r="P162" s="271" t="s">
        <v>631</v>
      </c>
      <c r="Q162" s="271" t="s">
        <v>630</v>
      </c>
      <c r="R162" s="271" t="s">
        <v>631</v>
      </c>
      <c r="S162" s="271" t="s">
        <v>630</v>
      </c>
      <c r="T162" s="271" t="s">
        <v>631</v>
      </c>
      <c r="U162" s="271">
        <v>102</v>
      </c>
      <c r="V162" s="271" t="s">
        <v>631</v>
      </c>
      <c r="W162" s="271">
        <v>100</v>
      </c>
      <c r="X162" s="271" t="s">
        <v>631</v>
      </c>
      <c r="Y162" s="271" t="s">
        <v>630</v>
      </c>
      <c r="Z162" s="271" t="s">
        <v>631</v>
      </c>
      <c r="AA162" s="271" t="s">
        <v>630</v>
      </c>
      <c r="AB162" s="271" t="s">
        <v>631</v>
      </c>
      <c r="AC162" s="263"/>
      <c r="AD162" s="263"/>
    </row>
    <row r="163" spans="1:30" x14ac:dyDescent="0.2">
      <c r="A163" s="263"/>
      <c r="B163" s="270" t="s">
        <v>747</v>
      </c>
      <c r="C163" s="271">
        <v>1393</v>
      </c>
      <c r="D163" s="271">
        <v>23</v>
      </c>
      <c r="E163" s="271" t="s">
        <v>630</v>
      </c>
      <c r="F163" s="271" t="s">
        <v>631</v>
      </c>
      <c r="G163" s="271">
        <v>23</v>
      </c>
      <c r="H163" s="271" t="s">
        <v>631</v>
      </c>
      <c r="I163" s="271">
        <v>38</v>
      </c>
      <c r="J163" s="271" t="s">
        <v>631</v>
      </c>
      <c r="K163" s="271">
        <v>125</v>
      </c>
      <c r="L163" s="271" t="s">
        <v>631</v>
      </c>
      <c r="M163" s="271" t="s">
        <v>630</v>
      </c>
      <c r="N163" s="271" t="s">
        <v>631</v>
      </c>
      <c r="O163" s="271">
        <v>63</v>
      </c>
      <c r="P163" s="271" t="s">
        <v>631</v>
      </c>
      <c r="Q163" s="271">
        <v>66</v>
      </c>
      <c r="R163" s="271" t="s">
        <v>631</v>
      </c>
      <c r="S163" s="271">
        <v>51</v>
      </c>
      <c r="T163" s="271" t="s">
        <v>631</v>
      </c>
      <c r="U163" s="271">
        <v>66</v>
      </c>
      <c r="V163" s="271" t="s">
        <v>631</v>
      </c>
      <c r="W163" s="271" t="s">
        <v>630</v>
      </c>
      <c r="X163" s="271" t="s">
        <v>631</v>
      </c>
      <c r="Y163" s="271" t="s">
        <v>630</v>
      </c>
      <c r="Z163" s="271" t="s">
        <v>631</v>
      </c>
      <c r="AA163" s="271">
        <v>23</v>
      </c>
      <c r="AB163" s="271" t="s">
        <v>631</v>
      </c>
      <c r="AC163" s="263"/>
      <c r="AD163" s="263"/>
    </row>
    <row r="164" spans="1:30" x14ac:dyDescent="0.2">
      <c r="A164" s="263"/>
      <c r="B164" s="270" t="s">
        <v>748</v>
      </c>
      <c r="C164" s="271">
        <v>697</v>
      </c>
      <c r="D164" s="271">
        <v>13</v>
      </c>
      <c r="E164" s="271" t="s">
        <v>630</v>
      </c>
      <c r="F164" s="271" t="s">
        <v>631</v>
      </c>
      <c r="G164" s="271" t="s">
        <v>630</v>
      </c>
      <c r="H164" s="271" t="s">
        <v>631</v>
      </c>
      <c r="I164" s="271" t="s">
        <v>630</v>
      </c>
      <c r="J164" s="271" t="s">
        <v>631</v>
      </c>
      <c r="K164" s="271">
        <v>3</v>
      </c>
      <c r="L164" s="271" t="s">
        <v>631</v>
      </c>
      <c r="M164" s="271" t="s">
        <v>630</v>
      </c>
      <c r="N164" s="271" t="s">
        <v>631</v>
      </c>
      <c r="O164" s="271" t="s">
        <v>630</v>
      </c>
      <c r="P164" s="271" t="s">
        <v>631</v>
      </c>
      <c r="Q164" s="271" t="s">
        <v>630</v>
      </c>
      <c r="R164" s="271" t="s">
        <v>631</v>
      </c>
      <c r="S164" s="271" t="s">
        <v>630</v>
      </c>
      <c r="T164" s="271" t="s">
        <v>631</v>
      </c>
      <c r="U164" s="271" t="s">
        <v>630</v>
      </c>
      <c r="V164" s="271" t="s">
        <v>631</v>
      </c>
      <c r="W164" s="271" t="s">
        <v>630</v>
      </c>
      <c r="X164" s="271" t="s">
        <v>631</v>
      </c>
      <c r="Y164" s="271" t="s">
        <v>630</v>
      </c>
      <c r="Z164" s="271" t="s">
        <v>631</v>
      </c>
      <c r="AA164" s="271" t="s">
        <v>630</v>
      </c>
      <c r="AB164" s="271" t="s">
        <v>631</v>
      </c>
      <c r="AC164" s="263"/>
      <c r="AD164" s="263"/>
    </row>
    <row r="165" spans="1:30" x14ac:dyDescent="0.2">
      <c r="A165" s="263"/>
      <c r="B165" s="270" t="s">
        <v>35</v>
      </c>
      <c r="C165" s="271">
        <v>572</v>
      </c>
      <c r="D165" s="271">
        <v>11</v>
      </c>
      <c r="E165" s="271" t="s">
        <v>630</v>
      </c>
      <c r="F165" s="271" t="s">
        <v>631</v>
      </c>
      <c r="G165" s="271" t="s">
        <v>630</v>
      </c>
      <c r="H165" s="271" t="s">
        <v>631</v>
      </c>
      <c r="I165" s="271" t="s">
        <v>630</v>
      </c>
      <c r="J165" s="271" t="s">
        <v>631</v>
      </c>
      <c r="K165" s="271">
        <v>23</v>
      </c>
      <c r="L165" s="271" t="s">
        <v>631</v>
      </c>
      <c r="M165" s="271" t="s">
        <v>630</v>
      </c>
      <c r="N165" s="271" t="s">
        <v>631</v>
      </c>
      <c r="O165" s="271" t="s">
        <v>630</v>
      </c>
      <c r="P165" s="271" t="s">
        <v>631</v>
      </c>
      <c r="Q165" s="271" t="s">
        <v>630</v>
      </c>
      <c r="R165" s="271" t="s">
        <v>631</v>
      </c>
      <c r="S165" s="271" t="s">
        <v>630</v>
      </c>
      <c r="T165" s="271" t="s">
        <v>631</v>
      </c>
      <c r="U165" s="271">
        <v>98</v>
      </c>
      <c r="V165" s="271" t="s">
        <v>631</v>
      </c>
      <c r="W165" s="271">
        <v>90</v>
      </c>
      <c r="X165" s="271" t="s">
        <v>631</v>
      </c>
      <c r="Y165" s="271" t="s">
        <v>630</v>
      </c>
      <c r="Z165" s="271" t="s">
        <v>631</v>
      </c>
      <c r="AA165" s="271" t="s">
        <v>630</v>
      </c>
      <c r="AB165" s="271" t="s">
        <v>631</v>
      </c>
      <c r="AC165" s="263"/>
      <c r="AD165" s="263"/>
    </row>
    <row r="166" spans="1:30" x14ac:dyDescent="0.2">
      <c r="A166" s="263"/>
      <c r="B166" s="270" t="s">
        <v>36</v>
      </c>
      <c r="C166" s="271">
        <v>189</v>
      </c>
      <c r="D166" s="271">
        <v>9</v>
      </c>
      <c r="E166" s="271" t="s">
        <v>630</v>
      </c>
      <c r="F166" s="271" t="s">
        <v>631</v>
      </c>
      <c r="G166" s="271" t="s">
        <v>630</v>
      </c>
      <c r="H166" s="271" t="s">
        <v>631</v>
      </c>
      <c r="I166" s="271" t="s">
        <v>630</v>
      </c>
      <c r="J166" s="271" t="s">
        <v>631</v>
      </c>
      <c r="K166" s="271">
        <v>5</v>
      </c>
      <c r="L166" s="271" t="s">
        <v>631</v>
      </c>
      <c r="M166" s="271" t="s">
        <v>630</v>
      </c>
      <c r="N166" s="271" t="s">
        <v>631</v>
      </c>
      <c r="O166" s="271" t="s">
        <v>630</v>
      </c>
      <c r="P166" s="271" t="s">
        <v>631</v>
      </c>
      <c r="Q166" s="271" t="s">
        <v>630</v>
      </c>
      <c r="R166" s="271" t="s">
        <v>631</v>
      </c>
      <c r="S166" s="271" t="s">
        <v>630</v>
      </c>
      <c r="T166" s="271" t="s">
        <v>631</v>
      </c>
      <c r="U166" s="271">
        <v>95</v>
      </c>
      <c r="V166" s="271" t="s">
        <v>631</v>
      </c>
      <c r="W166" s="271">
        <v>99</v>
      </c>
      <c r="X166" s="271" t="s">
        <v>631</v>
      </c>
      <c r="Y166" s="271" t="s">
        <v>630</v>
      </c>
      <c r="Z166" s="271" t="s">
        <v>631</v>
      </c>
      <c r="AA166" s="271" t="s">
        <v>630</v>
      </c>
      <c r="AB166" s="271" t="s">
        <v>631</v>
      </c>
      <c r="AC166" s="263"/>
      <c r="AD166" s="263"/>
    </row>
    <row r="167" spans="1:30" x14ac:dyDescent="0.2">
      <c r="A167" s="263"/>
      <c r="B167" s="270" t="s">
        <v>749</v>
      </c>
      <c r="C167" s="271">
        <v>127</v>
      </c>
      <c r="D167" s="271">
        <v>23</v>
      </c>
      <c r="E167" s="271">
        <v>0</v>
      </c>
      <c r="F167" s="271" t="s">
        <v>631</v>
      </c>
      <c r="G167" s="271">
        <v>13</v>
      </c>
      <c r="H167" s="271" t="s">
        <v>631</v>
      </c>
      <c r="I167" s="271">
        <v>15</v>
      </c>
      <c r="J167" s="271" t="s">
        <v>632</v>
      </c>
      <c r="K167" s="271">
        <v>62</v>
      </c>
      <c r="L167" s="271" t="s">
        <v>631</v>
      </c>
      <c r="M167" s="271">
        <v>73</v>
      </c>
      <c r="N167" s="271" t="s">
        <v>631</v>
      </c>
      <c r="O167" s="271">
        <v>72</v>
      </c>
      <c r="P167" s="271" t="s">
        <v>631</v>
      </c>
      <c r="Q167" s="271">
        <v>71</v>
      </c>
      <c r="R167" s="271" t="s">
        <v>631</v>
      </c>
      <c r="S167" s="271">
        <v>54</v>
      </c>
      <c r="T167" s="271" t="s">
        <v>631</v>
      </c>
      <c r="U167" s="271">
        <v>72</v>
      </c>
      <c r="V167" s="271" t="s">
        <v>631</v>
      </c>
      <c r="W167" s="271">
        <v>29</v>
      </c>
      <c r="X167" s="271" t="s">
        <v>631</v>
      </c>
      <c r="Y167" s="271">
        <v>26</v>
      </c>
      <c r="Z167" s="271" t="s">
        <v>632</v>
      </c>
      <c r="AA167" s="271">
        <v>29</v>
      </c>
      <c r="AB167" s="271" t="s">
        <v>632</v>
      </c>
      <c r="AC167" s="263"/>
      <c r="AD167" s="263"/>
    </row>
    <row r="168" spans="1:30" x14ac:dyDescent="0.2">
      <c r="A168" s="263"/>
      <c r="B168" s="270" t="s">
        <v>750</v>
      </c>
      <c r="C168" s="271">
        <v>2521</v>
      </c>
      <c r="D168" s="271">
        <v>24</v>
      </c>
      <c r="E168" s="271" t="s">
        <v>630</v>
      </c>
      <c r="F168" s="271" t="s">
        <v>631</v>
      </c>
      <c r="G168" s="271">
        <v>25</v>
      </c>
      <c r="H168" s="271" t="s">
        <v>631</v>
      </c>
      <c r="I168" s="271" t="s">
        <v>630</v>
      </c>
      <c r="J168" s="271" t="s">
        <v>631</v>
      </c>
      <c r="K168" s="271">
        <v>123</v>
      </c>
      <c r="L168" s="271" t="s">
        <v>632</v>
      </c>
      <c r="M168" s="271" t="s">
        <v>630</v>
      </c>
      <c r="N168" s="271" t="s">
        <v>631</v>
      </c>
      <c r="O168" s="271">
        <v>75</v>
      </c>
      <c r="P168" s="271" t="s">
        <v>641</v>
      </c>
      <c r="Q168" s="271" t="s">
        <v>630</v>
      </c>
      <c r="R168" s="271" t="s">
        <v>631</v>
      </c>
      <c r="S168" s="271" t="s">
        <v>630</v>
      </c>
      <c r="T168" s="271" t="s">
        <v>631</v>
      </c>
      <c r="U168" s="271" t="s">
        <v>630</v>
      </c>
      <c r="V168" s="271" t="s">
        <v>631</v>
      </c>
      <c r="W168" s="271" t="s">
        <v>630</v>
      </c>
      <c r="X168" s="271" t="s">
        <v>631</v>
      </c>
      <c r="Y168" s="271" t="s">
        <v>630</v>
      </c>
      <c r="Z168" s="271" t="s">
        <v>631</v>
      </c>
      <c r="AA168" s="271">
        <v>3</v>
      </c>
      <c r="AB168" s="271" t="s">
        <v>632</v>
      </c>
      <c r="AC168" s="263"/>
      <c r="AD168" s="263"/>
    </row>
    <row r="169" spans="1:30" x14ac:dyDescent="0.2">
      <c r="A169" s="263"/>
      <c r="B169" s="270" t="s">
        <v>751</v>
      </c>
      <c r="C169" s="271">
        <v>9555</v>
      </c>
      <c r="D169" s="271">
        <v>18</v>
      </c>
      <c r="E169" s="271">
        <v>2</v>
      </c>
      <c r="F169" s="271" t="s">
        <v>632</v>
      </c>
      <c r="G169" s="271">
        <v>4</v>
      </c>
      <c r="H169" s="271" t="s">
        <v>632</v>
      </c>
      <c r="I169" s="271">
        <v>15</v>
      </c>
      <c r="J169" s="271" t="s">
        <v>632</v>
      </c>
      <c r="K169" s="271">
        <v>54</v>
      </c>
      <c r="L169" s="271" t="s">
        <v>632</v>
      </c>
      <c r="M169" s="271" t="s">
        <v>630</v>
      </c>
      <c r="N169" s="271" t="s">
        <v>631</v>
      </c>
      <c r="O169" s="271" t="s">
        <v>630</v>
      </c>
      <c r="P169" s="271" t="s">
        <v>631</v>
      </c>
      <c r="Q169" s="271" t="s">
        <v>630</v>
      </c>
      <c r="R169" s="271" t="s">
        <v>631</v>
      </c>
      <c r="S169" s="271" t="s">
        <v>630</v>
      </c>
      <c r="T169" s="271" t="s">
        <v>631</v>
      </c>
      <c r="U169" s="271">
        <v>111</v>
      </c>
      <c r="V169" s="271" t="s">
        <v>631</v>
      </c>
      <c r="W169" s="271">
        <v>96</v>
      </c>
      <c r="X169" s="271" t="s">
        <v>631</v>
      </c>
      <c r="Y169" s="271" t="s">
        <v>630</v>
      </c>
      <c r="Z169" s="271" t="s">
        <v>631</v>
      </c>
      <c r="AA169" s="271" t="s">
        <v>630</v>
      </c>
      <c r="AB169" s="271" t="s">
        <v>631</v>
      </c>
      <c r="AC169" s="263"/>
      <c r="AD169" s="263"/>
    </row>
    <row r="170" spans="1:30" x14ac:dyDescent="0.2">
      <c r="A170" s="263"/>
      <c r="B170" s="270" t="s">
        <v>752</v>
      </c>
      <c r="C170" s="271">
        <v>2644</v>
      </c>
      <c r="D170" s="271">
        <v>23</v>
      </c>
      <c r="E170" s="271" t="s">
        <v>630</v>
      </c>
      <c r="F170" s="271" t="s">
        <v>631</v>
      </c>
      <c r="G170" s="271">
        <v>40</v>
      </c>
      <c r="H170" s="271" t="s">
        <v>631</v>
      </c>
      <c r="I170" s="271">
        <v>28</v>
      </c>
      <c r="J170" s="271" t="s">
        <v>631</v>
      </c>
      <c r="K170" s="271">
        <v>38</v>
      </c>
      <c r="L170" s="271" t="s">
        <v>631</v>
      </c>
      <c r="M170" s="271" t="s">
        <v>630</v>
      </c>
      <c r="N170" s="271" t="s">
        <v>631</v>
      </c>
      <c r="O170" s="271">
        <v>72</v>
      </c>
      <c r="P170" s="271" t="s">
        <v>631</v>
      </c>
      <c r="Q170" s="271" t="s">
        <v>630</v>
      </c>
      <c r="R170" s="271" t="s">
        <v>631</v>
      </c>
      <c r="S170" s="271" t="s">
        <v>630</v>
      </c>
      <c r="T170" s="271" t="s">
        <v>631</v>
      </c>
      <c r="U170" s="271">
        <v>17</v>
      </c>
      <c r="V170" s="271" t="s">
        <v>631</v>
      </c>
      <c r="W170" s="271" t="s">
        <v>630</v>
      </c>
      <c r="X170" s="271" t="s">
        <v>631</v>
      </c>
      <c r="Y170" s="271" t="s">
        <v>630</v>
      </c>
      <c r="Z170" s="271" t="s">
        <v>631</v>
      </c>
      <c r="AA170" s="271">
        <v>8</v>
      </c>
      <c r="AB170" s="271" t="s">
        <v>631</v>
      </c>
      <c r="AC170" s="263"/>
      <c r="AD170" s="263"/>
    </row>
    <row r="171" spans="1:30" x14ac:dyDescent="0.2">
      <c r="A171" s="263"/>
      <c r="B171" s="270" t="s">
        <v>37</v>
      </c>
      <c r="C171" s="271">
        <v>4330</v>
      </c>
      <c r="D171" s="271">
        <v>9</v>
      </c>
      <c r="E171" s="271" t="s">
        <v>630</v>
      </c>
      <c r="F171" s="271" t="s">
        <v>631</v>
      </c>
      <c r="G171" s="271" t="s">
        <v>630</v>
      </c>
      <c r="H171" s="271" t="s">
        <v>631</v>
      </c>
      <c r="I171" s="271" t="s">
        <v>630</v>
      </c>
      <c r="J171" s="271" t="s">
        <v>631</v>
      </c>
      <c r="K171" s="271">
        <v>10</v>
      </c>
      <c r="L171" s="271" t="s">
        <v>631</v>
      </c>
      <c r="M171" s="271" t="s">
        <v>630</v>
      </c>
      <c r="N171" s="271" t="s">
        <v>631</v>
      </c>
      <c r="O171" s="271" t="s">
        <v>630</v>
      </c>
      <c r="P171" s="271" t="s">
        <v>631</v>
      </c>
      <c r="Q171" s="271" t="s">
        <v>630</v>
      </c>
      <c r="R171" s="271" t="s">
        <v>631</v>
      </c>
      <c r="S171" s="271" t="s">
        <v>630</v>
      </c>
      <c r="T171" s="271" t="s">
        <v>631</v>
      </c>
      <c r="U171" s="271">
        <v>123</v>
      </c>
      <c r="V171" s="271" t="s">
        <v>631</v>
      </c>
      <c r="W171" s="271">
        <v>146</v>
      </c>
      <c r="X171" s="271" t="s">
        <v>631</v>
      </c>
      <c r="Y171" s="271" t="s">
        <v>630</v>
      </c>
      <c r="Z171" s="271" t="s">
        <v>631</v>
      </c>
      <c r="AA171" s="271" t="s">
        <v>630</v>
      </c>
      <c r="AB171" s="271" t="s">
        <v>631</v>
      </c>
      <c r="AC171" s="263"/>
      <c r="AD171" s="263"/>
    </row>
    <row r="172" spans="1:30" x14ac:dyDescent="0.2">
      <c r="A172" s="263"/>
      <c r="B172" s="270" t="s">
        <v>753</v>
      </c>
      <c r="C172" s="271">
        <v>3262</v>
      </c>
      <c r="D172" s="271">
        <v>15</v>
      </c>
      <c r="E172" s="271" t="s">
        <v>630</v>
      </c>
      <c r="F172" s="271" t="s">
        <v>631</v>
      </c>
      <c r="G172" s="271">
        <v>9</v>
      </c>
      <c r="H172" s="271" t="s">
        <v>631</v>
      </c>
      <c r="I172" s="271">
        <v>4</v>
      </c>
      <c r="J172" s="271" t="s">
        <v>632</v>
      </c>
      <c r="K172" s="271">
        <v>24</v>
      </c>
      <c r="L172" s="271" t="s">
        <v>632</v>
      </c>
      <c r="M172" s="271" t="s">
        <v>630</v>
      </c>
      <c r="N172" s="271" t="s">
        <v>631</v>
      </c>
      <c r="O172" s="271">
        <v>54</v>
      </c>
      <c r="P172" s="271" t="s">
        <v>641</v>
      </c>
      <c r="Q172" s="271" t="s">
        <v>630</v>
      </c>
      <c r="R172" s="271" t="s">
        <v>631</v>
      </c>
      <c r="S172" s="271">
        <v>88</v>
      </c>
      <c r="T172" s="271" t="s">
        <v>641</v>
      </c>
      <c r="U172" s="271">
        <v>99</v>
      </c>
      <c r="V172" s="271" t="s">
        <v>631</v>
      </c>
      <c r="W172" s="271">
        <v>100</v>
      </c>
      <c r="X172" s="271" t="s">
        <v>631</v>
      </c>
      <c r="Y172" s="271" t="s">
        <v>630</v>
      </c>
      <c r="Z172" s="271" t="s">
        <v>631</v>
      </c>
      <c r="AA172" s="271" t="s">
        <v>630</v>
      </c>
      <c r="AB172" s="271" t="s">
        <v>631</v>
      </c>
      <c r="AC172" s="263"/>
      <c r="AD172" s="263"/>
    </row>
    <row r="173" spans="1:30" x14ac:dyDescent="0.2">
      <c r="A173" s="263"/>
      <c r="B173" s="270" t="s">
        <v>220</v>
      </c>
      <c r="C173" s="271">
        <v>1069</v>
      </c>
      <c r="D173" s="271">
        <v>25</v>
      </c>
      <c r="E173" s="271" t="s">
        <v>630</v>
      </c>
      <c r="F173" s="271" t="s">
        <v>631</v>
      </c>
      <c r="G173" s="271">
        <v>12</v>
      </c>
      <c r="H173" s="271" t="s">
        <v>631</v>
      </c>
      <c r="I173" s="271">
        <v>17</v>
      </c>
      <c r="J173" s="271" t="s">
        <v>631</v>
      </c>
      <c r="K173" s="271">
        <v>67</v>
      </c>
      <c r="L173" s="271" t="s">
        <v>631</v>
      </c>
      <c r="M173" s="271" t="s">
        <v>630</v>
      </c>
      <c r="N173" s="271" t="s">
        <v>631</v>
      </c>
      <c r="O173" s="271" t="s">
        <v>630</v>
      </c>
      <c r="P173" s="271" t="s">
        <v>631</v>
      </c>
      <c r="Q173" s="271" t="s">
        <v>630</v>
      </c>
      <c r="R173" s="271" t="s">
        <v>631</v>
      </c>
      <c r="S173" s="271" t="s">
        <v>630</v>
      </c>
      <c r="T173" s="271" t="s">
        <v>631</v>
      </c>
      <c r="U173" s="271">
        <v>86</v>
      </c>
      <c r="V173" s="271" t="s">
        <v>631</v>
      </c>
      <c r="W173" s="271">
        <v>73</v>
      </c>
      <c r="X173" s="271" t="s">
        <v>631</v>
      </c>
      <c r="Y173" s="271" t="s">
        <v>630</v>
      </c>
      <c r="Z173" s="271" t="s">
        <v>631</v>
      </c>
      <c r="AA173" s="271">
        <v>5</v>
      </c>
      <c r="AB173" s="271" t="s">
        <v>631</v>
      </c>
      <c r="AC173" s="263"/>
      <c r="AD173" s="263"/>
    </row>
    <row r="174" spans="1:30" x14ac:dyDescent="0.2">
      <c r="A174" s="263"/>
      <c r="B174" s="270" t="s">
        <v>754</v>
      </c>
      <c r="C174" s="271">
        <v>8731</v>
      </c>
      <c r="D174" s="271">
        <v>23</v>
      </c>
      <c r="E174" s="271" t="s">
        <v>630</v>
      </c>
      <c r="F174" s="271" t="s">
        <v>631</v>
      </c>
      <c r="G174" s="271">
        <v>24</v>
      </c>
      <c r="H174" s="271" t="s">
        <v>631</v>
      </c>
      <c r="I174" s="271">
        <v>14</v>
      </c>
      <c r="J174" s="271" t="s">
        <v>631</v>
      </c>
      <c r="K174" s="271">
        <v>102</v>
      </c>
      <c r="L174" s="271" t="s">
        <v>631</v>
      </c>
      <c r="M174" s="271" t="s">
        <v>630</v>
      </c>
      <c r="N174" s="271" t="s">
        <v>631</v>
      </c>
      <c r="O174" s="271">
        <v>52</v>
      </c>
      <c r="P174" s="271" t="s">
        <v>631</v>
      </c>
      <c r="Q174" s="271" t="s">
        <v>630</v>
      </c>
      <c r="R174" s="271" t="s">
        <v>631</v>
      </c>
      <c r="S174" s="271" t="s">
        <v>630</v>
      </c>
      <c r="T174" s="271" t="s">
        <v>631</v>
      </c>
      <c r="U174" s="271">
        <v>49</v>
      </c>
      <c r="V174" s="271" t="s">
        <v>631</v>
      </c>
      <c r="W174" s="271">
        <v>28</v>
      </c>
      <c r="X174" s="271" t="s">
        <v>631</v>
      </c>
      <c r="Y174" s="271">
        <v>10</v>
      </c>
      <c r="Z174" s="271" t="s">
        <v>631</v>
      </c>
      <c r="AA174" s="271">
        <v>4</v>
      </c>
      <c r="AB174" s="271" t="s">
        <v>631</v>
      </c>
      <c r="AC174" s="263"/>
      <c r="AD174" s="263"/>
    </row>
    <row r="175" spans="1:30" x14ac:dyDescent="0.2">
      <c r="A175" s="263"/>
      <c r="B175" s="270" t="s">
        <v>755</v>
      </c>
      <c r="C175" s="271">
        <v>99</v>
      </c>
      <c r="D175" s="271">
        <v>18</v>
      </c>
      <c r="E175" s="271" t="s">
        <v>630</v>
      </c>
      <c r="F175" s="271" t="s">
        <v>631</v>
      </c>
      <c r="G175" s="271">
        <v>12</v>
      </c>
      <c r="H175" s="271" t="s">
        <v>631</v>
      </c>
      <c r="I175" s="271" t="s">
        <v>630</v>
      </c>
      <c r="J175" s="271" t="s">
        <v>631</v>
      </c>
      <c r="K175" s="271">
        <v>66</v>
      </c>
      <c r="L175" s="271" t="s">
        <v>632</v>
      </c>
      <c r="M175" s="271" t="s">
        <v>630</v>
      </c>
      <c r="N175" s="271" t="s">
        <v>631</v>
      </c>
      <c r="O175" s="271">
        <v>19</v>
      </c>
      <c r="P175" s="271" t="s">
        <v>631</v>
      </c>
      <c r="Q175" s="271" t="s">
        <v>630</v>
      </c>
      <c r="R175" s="271" t="s">
        <v>631</v>
      </c>
      <c r="S175" s="271">
        <v>99</v>
      </c>
      <c r="T175" s="271" t="s">
        <v>631</v>
      </c>
      <c r="U175" s="271">
        <v>90</v>
      </c>
      <c r="V175" s="271" t="s">
        <v>631</v>
      </c>
      <c r="W175" s="271">
        <v>79</v>
      </c>
      <c r="X175" s="271" t="s">
        <v>631</v>
      </c>
      <c r="Y175" s="271" t="s">
        <v>630</v>
      </c>
      <c r="Z175" s="271" t="s">
        <v>631</v>
      </c>
      <c r="AA175" s="271">
        <v>40</v>
      </c>
      <c r="AB175" s="271" t="s">
        <v>631</v>
      </c>
      <c r="AC175" s="263"/>
      <c r="AD175" s="263"/>
    </row>
    <row r="176" spans="1:30" x14ac:dyDescent="0.2">
      <c r="A176" s="263"/>
      <c r="B176" s="270" t="s">
        <v>756</v>
      </c>
      <c r="C176" s="271">
        <v>297</v>
      </c>
      <c r="D176" s="271">
        <v>24</v>
      </c>
      <c r="E176" s="272">
        <v>0</v>
      </c>
      <c r="F176" s="271" t="s">
        <v>631</v>
      </c>
      <c r="G176" s="271">
        <v>4</v>
      </c>
      <c r="H176" s="271" t="s">
        <v>631</v>
      </c>
      <c r="I176" s="271">
        <v>22</v>
      </c>
      <c r="J176" s="271" t="s">
        <v>631</v>
      </c>
      <c r="K176" s="271">
        <v>89</v>
      </c>
      <c r="L176" s="271" t="s">
        <v>631</v>
      </c>
      <c r="M176" s="271">
        <v>34</v>
      </c>
      <c r="N176" s="271" t="s">
        <v>631</v>
      </c>
      <c r="O176" s="271">
        <v>42</v>
      </c>
      <c r="P176" s="271" t="s">
        <v>631</v>
      </c>
      <c r="Q176" s="271">
        <v>94</v>
      </c>
      <c r="R176" s="271" t="s">
        <v>631</v>
      </c>
      <c r="S176" s="271">
        <v>89</v>
      </c>
      <c r="T176" s="271" t="s">
        <v>631</v>
      </c>
      <c r="U176" s="271">
        <v>69</v>
      </c>
      <c r="V176" s="271" t="s">
        <v>631</v>
      </c>
      <c r="W176" s="271">
        <v>47</v>
      </c>
      <c r="X176" s="271" t="s">
        <v>631</v>
      </c>
      <c r="Y176" s="271">
        <v>52</v>
      </c>
      <c r="Z176" s="271" t="s">
        <v>631</v>
      </c>
      <c r="AA176" s="271">
        <v>56</v>
      </c>
      <c r="AB176" s="271" t="s">
        <v>631</v>
      </c>
      <c r="AC176" s="263"/>
      <c r="AD176" s="263"/>
    </row>
    <row r="177" spans="1:30" x14ac:dyDescent="0.2">
      <c r="A177" s="263"/>
      <c r="B177" s="270" t="s">
        <v>38</v>
      </c>
      <c r="C177" s="271">
        <v>1060</v>
      </c>
      <c r="D177" s="271">
        <v>11</v>
      </c>
      <c r="E177" s="271" t="s">
        <v>630</v>
      </c>
      <c r="F177" s="271" t="s">
        <v>631</v>
      </c>
      <c r="G177" s="271" t="s">
        <v>630</v>
      </c>
      <c r="H177" s="271" t="s">
        <v>631</v>
      </c>
      <c r="I177" s="271" t="s">
        <v>630</v>
      </c>
      <c r="J177" s="271" t="s">
        <v>631</v>
      </c>
      <c r="K177" s="271">
        <v>6</v>
      </c>
      <c r="L177" s="271" t="s">
        <v>631</v>
      </c>
      <c r="M177" s="271" t="s">
        <v>630</v>
      </c>
      <c r="N177" s="271" t="s">
        <v>631</v>
      </c>
      <c r="O177" s="271" t="s">
        <v>630</v>
      </c>
      <c r="P177" s="271" t="s">
        <v>631</v>
      </c>
      <c r="Q177" s="271" t="s">
        <v>630</v>
      </c>
      <c r="R177" s="271" t="s">
        <v>631</v>
      </c>
      <c r="S177" s="271" t="s">
        <v>630</v>
      </c>
      <c r="T177" s="271" t="s">
        <v>631</v>
      </c>
      <c r="U177" s="271">
        <v>100</v>
      </c>
      <c r="V177" s="271" t="s">
        <v>631</v>
      </c>
      <c r="W177" s="271">
        <v>97</v>
      </c>
      <c r="X177" s="271" t="s">
        <v>631</v>
      </c>
      <c r="Y177" s="271" t="s">
        <v>630</v>
      </c>
      <c r="Z177" s="271" t="s">
        <v>631</v>
      </c>
      <c r="AA177" s="271" t="s">
        <v>630</v>
      </c>
      <c r="AB177" s="271" t="s">
        <v>631</v>
      </c>
      <c r="AC177" s="263"/>
      <c r="AD177" s="263"/>
    </row>
    <row r="178" spans="1:30" x14ac:dyDescent="0.2">
      <c r="A178" s="263"/>
      <c r="B178" s="270" t="s">
        <v>39</v>
      </c>
      <c r="C178" s="271">
        <v>856</v>
      </c>
      <c r="D178" s="271">
        <v>11</v>
      </c>
      <c r="E178" s="271" t="s">
        <v>630</v>
      </c>
      <c r="F178" s="271" t="s">
        <v>631</v>
      </c>
      <c r="G178" s="271" t="s">
        <v>630</v>
      </c>
      <c r="H178" s="271" t="s">
        <v>631</v>
      </c>
      <c r="I178" s="271" t="s">
        <v>630</v>
      </c>
      <c r="J178" s="271" t="s">
        <v>631</v>
      </c>
      <c r="K178" s="271">
        <v>3</v>
      </c>
      <c r="L178" s="271" t="s">
        <v>631</v>
      </c>
      <c r="M178" s="271" t="s">
        <v>630</v>
      </c>
      <c r="N178" s="271" t="s">
        <v>631</v>
      </c>
      <c r="O178" s="271" t="s">
        <v>630</v>
      </c>
      <c r="P178" s="271" t="s">
        <v>631</v>
      </c>
      <c r="Q178" s="271" t="s">
        <v>630</v>
      </c>
      <c r="R178" s="271" t="s">
        <v>631</v>
      </c>
      <c r="S178" s="271" t="s">
        <v>630</v>
      </c>
      <c r="T178" s="271" t="s">
        <v>631</v>
      </c>
      <c r="U178" s="271">
        <v>110</v>
      </c>
      <c r="V178" s="271" t="s">
        <v>631</v>
      </c>
      <c r="W178" s="271">
        <v>87</v>
      </c>
      <c r="X178" s="271" t="s">
        <v>631</v>
      </c>
      <c r="Y178" s="271" t="s">
        <v>630</v>
      </c>
      <c r="Z178" s="271" t="s">
        <v>631</v>
      </c>
      <c r="AA178" s="271" t="s">
        <v>630</v>
      </c>
      <c r="AB178" s="271" t="s">
        <v>631</v>
      </c>
      <c r="AC178" s="263"/>
      <c r="AD178" s="263"/>
    </row>
    <row r="179" spans="1:30" x14ac:dyDescent="0.2">
      <c r="A179" s="263"/>
      <c r="B179" s="270" t="s">
        <v>757</v>
      </c>
      <c r="C179" s="271">
        <v>4772</v>
      </c>
      <c r="D179" s="271">
        <v>22</v>
      </c>
      <c r="E179" s="271" t="s">
        <v>630</v>
      </c>
      <c r="F179" s="271" t="s">
        <v>631</v>
      </c>
      <c r="G179" s="271">
        <v>10</v>
      </c>
      <c r="H179" s="271" t="s">
        <v>631</v>
      </c>
      <c r="I179" s="271">
        <v>9</v>
      </c>
      <c r="J179" s="271" t="s">
        <v>632</v>
      </c>
      <c r="K179" s="271">
        <v>75</v>
      </c>
      <c r="L179" s="271" t="s">
        <v>632</v>
      </c>
      <c r="M179" s="271" t="s">
        <v>630</v>
      </c>
      <c r="N179" s="271" t="s">
        <v>631</v>
      </c>
      <c r="O179" s="271" t="s">
        <v>630</v>
      </c>
      <c r="P179" s="271" t="s">
        <v>631</v>
      </c>
      <c r="Q179" s="271" t="s">
        <v>630</v>
      </c>
      <c r="R179" s="271" t="s">
        <v>631</v>
      </c>
      <c r="S179" s="271" t="s">
        <v>630</v>
      </c>
      <c r="T179" s="271" t="s">
        <v>631</v>
      </c>
      <c r="U179" s="271">
        <v>93</v>
      </c>
      <c r="V179" s="271" t="s">
        <v>631</v>
      </c>
      <c r="W179" s="271">
        <v>41</v>
      </c>
      <c r="X179" s="271" t="s">
        <v>631</v>
      </c>
      <c r="Y179" s="271" t="s">
        <v>630</v>
      </c>
      <c r="Z179" s="271" t="s">
        <v>631</v>
      </c>
      <c r="AA179" s="271">
        <v>6</v>
      </c>
      <c r="AB179" s="271" t="s">
        <v>632</v>
      </c>
      <c r="AC179" s="263"/>
      <c r="AD179" s="263"/>
    </row>
    <row r="180" spans="1:30" x14ac:dyDescent="0.2">
      <c r="A180" s="263"/>
      <c r="B180" s="270" t="s">
        <v>40</v>
      </c>
      <c r="C180" s="271">
        <v>1698</v>
      </c>
      <c r="D180" s="271">
        <v>21</v>
      </c>
      <c r="E180" s="271" t="s">
        <v>630</v>
      </c>
      <c r="F180" s="271" t="s">
        <v>631</v>
      </c>
      <c r="G180" s="271">
        <v>13</v>
      </c>
      <c r="H180" s="271" t="s">
        <v>631</v>
      </c>
      <c r="I180" s="271">
        <v>2</v>
      </c>
      <c r="J180" s="271" t="s">
        <v>631</v>
      </c>
      <c r="K180" s="271">
        <v>47</v>
      </c>
      <c r="L180" s="271" t="s">
        <v>631</v>
      </c>
      <c r="M180" s="271" t="s">
        <v>630</v>
      </c>
      <c r="N180" s="271" t="s">
        <v>631</v>
      </c>
      <c r="O180" s="271">
        <v>47</v>
      </c>
      <c r="P180" s="271" t="s">
        <v>631</v>
      </c>
      <c r="Q180" s="271" t="s">
        <v>630</v>
      </c>
      <c r="R180" s="271" t="s">
        <v>631</v>
      </c>
      <c r="S180" s="271">
        <v>89</v>
      </c>
      <c r="T180" s="271" t="s">
        <v>631</v>
      </c>
      <c r="U180" s="271">
        <v>95</v>
      </c>
      <c r="V180" s="271" t="s">
        <v>631</v>
      </c>
      <c r="W180" s="271">
        <v>67</v>
      </c>
      <c r="X180" s="271" t="s">
        <v>631</v>
      </c>
      <c r="Y180" s="271" t="s">
        <v>630</v>
      </c>
      <c r="Z180" s="271" t="s">
        <v>631</v>
      </c>
      <c r="AA180" s="271">
        <v>7</v>
      </c>
      <c r="AB180" s="271" t="s">
        <v>631</v>
      </c>
      <c r="AC180" s="263"/>
      <c r="AD180" s="263"/>
    </row>
    <row r="181" spans="1:30" x14ac:dyDescent="0.2">
      <c r="A181" s="263"/>
      <c r="B181" s="270" t="s">
        <v>758</v>
      </c>
      <c r="C181" s="271">
        <v>8941</v>
      </c>
      <c r="D181" s="271">
        <v>13</v>
      </c>
      <c r="E181" s="271" t="s">
        <v>630</v>
      </c>
      <c r="F181" s="271" t="s">
        <v>631</v>
      </c>
      <c r="G181" s="271">
        <v>16</v>
      </c>
      <c r="H181" s="271" t="s">
        <v>631</v>
      </c>
      <c r="I181" s="271">
        <v>13</v>
      </c>
      <c r="J181" s="271" t="s">
        <v>631</v>
      </c>
      <c r="K181" s="271">
        <v>43</v>
      </c>
      <c r="L181" s="271" t="s">
        <v>632</v>
      </c>
      <c r="M181" s="271" t="s">
        <v>630</v>
      </c>
      <c r="N181" s="271" t="s">
        <v>631</v>
      </c>
      <c r="O181" s="271">
        <v>10</v>
      </c>
      <c r="P181" s="271" t="s">
        <v>631</v>
      </c>
      <c r="Q181" s="271" t="s">
        <v>630</v>
      </c>
      <c r="R181" s="271" t="s">
        <v>631</v>
      </c>
      <c r="S181" s="271" t="s">
        <v>630</v>
      </c>
      <c r="T181" s="271" t="s">
        <v>631</v>
      </c>
      <c r="U181" s="271">
        <v>99</v>
      </c>
      <c r="V181" s="271" t="s">
        <v>631</v>
      </c>
      <c r="W181" s="271">
        <v>76</v>
      </c>
      <c r="X181" s="271" t="s">
        <v>631</v>
      </c>
      <c r="Y181" s="271" t="s">
        <v>630</v>
      </c>
      <c r="Z181" s="271" t="s">
        <v>631</v>
      </c>
      <c r="AA181" s="271">
        <v>57</v>
      </c>
      <c r="AB181" s="271" t="s">
        <v>631</v>
      </c>
      <c r="AC181" s="263"/>
      <c r="AD181" s="263"/>
    </row>
    <row r="182" spans="1:30" x14ac:dyDescent="0.2">
      <c r="A182" s="263"/>
      <c r="B182" s="270" t="s">
        <v>76</v>
      </c>
      <c r="C182" s="271">
        <v>265</v>
      </c>
      <c r="D182" s="271">
        <v>13</v>
      </c>
      <c r="E182" s="271" t="s">
        <v>630</v>
      </c>
      <c r="F182" s="271" t="s">
        <v>631</v>
      </c>
      <c r="G182" s="271">
        <v>4</v>
      </c>
      <c r="H182" s="271" t="s">
        <v>631</v>
      </c>
      <c r="I182" s="271">
        <v>2</v>
      </c>
      <c r="J182" s="271" t="s">
        <v>631</v>
      </c>
      <c r="K182" s="271">
        <v>60</v>
      </c>
      <c r="L182" s="271" t="s">
        <v>631</v>
      </c>
      <c r="M182" s="271" t="s">
        <v>630</v>
      </c>
      <c r="N182" s="271" t="s">
        <v>631</v>
      </c>
      <c r="O182" s="271">
        <v>14</v>
      </c>
      <c r="P182" s="271" t="s">
        <v>631</v>
      </c>
      <c r="Q182" s="271" t="s">
        <v>630</v>
      </c>
      <c r="R182" s="271" t="s">
        <v>631</v>
      </c>
      <c r="S182" s="271" t="s">
        <v>630</v>
      </c>
      <c r="T182" s="271" t="s">
        <v>631</v>
      </c>
      <c r="U182" s="271">
        <v>89</v>
      </c>
      <c r="V182" s="271" t="s">
        <v>631</v>
      </c>
      <c r="W182" s="271">
        <v>77</v>
      </c>
      <c r="X182" s="271" t="s">
        <v>631</v>
      </c>
      <c r="Y182" s="271" t="s">
        <v>630</v>
      </c>
      <c r="Z182" s="271" t="s">
        <v>631</v>
      </c>
      <c r="AA182" s="271">
        <v>23</v>
      </c>
      <c r="AB182" s="271" t="s">
        <v>632</v>
      </c>
      <c r="AC182" s="263"/>
      <c r="AD182" s="263"/>
    </row>
    <row r="183" spans="1:30" x14ac:dyDescent="0.2">
      <c r="A183" s="263"/>
      <c r="B183" s="270" t="s">
        <v>759</v>
      </c>
      <c r="C183" s="271">
        <v>316</v>
      </c>
      <c r="D183" s="271">
        <v>28</v>
      </c>
      <c r="E183" s="271">
        <v>0</v>
      </c>
      <c r="F183" s="271" t="s">
        <v>631</v>
      </c>
      <c r="G183" s="271">
        <v>8</v>
      </c>
      <c r="H183" s="271" t="s">
        <v>631</v>
      </c>
      <c r="I183" s="271">
        <v>9</v>
      </c>
      <c r="J183" s="271" t="s">
        <v>631</v>
      </c>
      <c r="K183" s="271">
        <v>54</v>
      </c>
      <c r="L183" s="271" t="s">
        <v>632</v>
      </c>
      <c r="M183" s="271">
        <v>72</v>
      </c>
      <c r="N183" s="271" t="s">
        <v>631</v>
      </c>
      <c r="O183" s="271">
        <v>81</v>
      </c>
      <c r="P183" s="271" t="s">
        <v>631</v>
      </c>
      <c r="Q183" s="271">
        <v>61</v>
      </c>
      <c r="R183" s="271" t="s">
        <v>631</v>
      </c>
      <c r="S183" s="271">
        <v>62</v>
      </c>
      <c r="T183" s="271" t="s">
        <v>631</v>
      </c>
      <c r="U183" s="271">
        <v>62</v>
      </c>
      <c r="V183" s="271" t="s">
        <v>631</v>
      </c>
      <c r="W183" s="271">
        <v>50</v>
      </c>
      <c r="X183" s="271" t="s">
        <v>631</v>
      </c>
      <c r="Y183" s="271">
        <v>15</v>
      </c>
      <c r="Z183" s="271" t="s">
        <v>631</v>
      </c>
      <c r="AA183" s="271">
        <v>11</v>
      </c>
      <c r="AB183" s="271" t="s">
        <v>631</v>
      </c>
      <c r="AC183" s="263"/>
      <c r="AD183" s="263"/>
    </row>
    <row r="184" spans="1:30" x14ac:dyDescent="0.2">
      <c r="A184" s="263"/>
      <c r="B184" s="270" t="s">
        <v>760</v>
      </c>
      <c r="C184" s="271">
        <v>1532</v>
      </c>
      <c r="D184" s="271">
        <v>22</v>
      </c>
      <c r="E184" s="271">
        <v>0</v>
      </c>
      <c r="F184" s="271" t="s">
        <v>631</v>
      </c>
      <c r="G184" s="271">
        <v>12</v>
      </c>
      <c r="H184" s="271" t="s">
        <v>631</v>
      </c>
      <c r="I184" s="271">
        <v>17</v>
      </c>
      <c r="J184" s="271" t="s">
        <v>631</v>
      </c>
      <c r="K184" s="271">
        <v>88</v>
      </c>
      <c r="L184" s="271" t="s">
        <v>631</v>
      </c>
      <c r="M184" s="271" t="s">
        <v>630</v>
      </c>
      <c r="N184" s="271" t="s">
        <v>631</v>
      </c>
      <c r="O184" s="271">
        <v>41</v>
      </c>
      <c r="P184" s="271" t="s">
        <v>631</v>
      </c>
      <c r="Q184" s="271" t="s">
        <v>630</v>
      </c>
      <c r="R184" s="271" t="s">
        <v>631</v>
      </c>
      <c r="S184" s="271" t="s">
        <v>630</v>
      </c>
      <c r="T184" s="271" t="s">
        <v>631</v>
      </c>
      <c r="U184" s="271">
        <v>68</v>
      </c>
      <c r="V184" s="271" t="s">
        <v>631</v>
      </c>
      <c r="W184" s="271">
        <v>36</v>
      </c>
      <c r="X184" s="271" t="s">
        <v>631</v>
      </c>
      <c r="Y184" s="271">
        <v>36</v>
      </c>
      <c r="Z184" s="271" t="s">
        <v>631</v>
      </c>
      <c r="AA184" s="271">
        <v>33</v>
      </c>
      <c r="AB184" s="271" t="s">
        <v>631</v>
      </c>
      <c r="AC184" s="263"/>
      <c r="AD184" s="263"/>
    </row>
    <row r="185" spans="1:30" x14ac:dyDescent="0.2">
      <c r="A185" s="263"/>
      <c r="B185" s="270" t="s">
        <v>761</v>
      </c>
      <c r="C185" s="271">
        <v>24</v>
      </c>
      <c r="D185" s="271">
        <v>22</v>
      </c>
      <c r="E185" s="271" t="s">
        <v>630</v>
      </c>
      <c r="F185" s="271" t="s">
        <v>631</v>
      </c>
      <c r="G185" s="271" t="s">
        <v>630</v>
      </c>
      <c r="H185" s="271" t="s">
        <v>631</v>
      </c>
      <c r="I185" s="271" t="s">
        <v>630</v>
      </c>
      <c r="J185" s="271" t="s">
        <v>631</v>
      </c>
      <c r="K185" s="271">
        <v>30</v>
      </c>
      <c r="L185" s="271" t="s">
        <v>631</v>
      </c>
      <c r="M185" s="271" t="s">
        <v>630</v>
      </c>
      <c r="N185" s="271" t="s">
        <v>631</v>
      </c>
      <c r="O185" s="271" t="s">
        <v>630</v>
      </c>
      <c r="P185" s="271" t="s">
        <v>631</v>
      </c>
      <c r="Q185" s="271" t="s">
        <v>630</v>
      </c>
      <c r="R185" s="271" t="s">
        <v>631</v>
      </c>
      <c r="S185" s="271" t="s">
        <v>630</v>
      </c>
      <c r="T185" s="271" t="s">
        <v>631</v>
      </c>
      <c r="U185" s="271" t="s">
        <v>630</v>
      </c>
      <c r="V185" s="271" t="s">
        <v>631</v>
      </c>
      <c r="W185" s="271" t="s">
        <v>630</v>
      </c>
      <c r="X185" s="271" t="s">
        <v>631</v>
      </c>
      <c r="Y185" s="271" t="s">
        <v>630</v>
      </c>
      <c r="Z185" s="271" t="s">
        <v>631</v>
      </c>
      <c r="AA185" s="271" t="s">
        <v>630</v>
      </c>
      <c r="AB185" s="271" t="s">
        <v>631</v>
      </c>
      <c r="AC185" s="263"/>
      <c r="AD185" s="263"/>
    </row>
    <row r="186" spans="1:30" x14ac:dyDescent="0.2">
      <c r="A186" s="263"/>
      <c r="B186" s="270" t="s">
        <v>762</v>
      </c>
      <c r="C186" s="271">
        <v>175</v>
      </c>
      <c r="D186" s="271">
        <v>13</v>
      </c>
      <c r="E186" s="271" t="s">
        <v>630</v>
      </c>
      <c r="F186" s="271" t="s">
        <v>631</v>
      </c>
      <c r="G186" s="271">
        <v>6</v>
      </c>
      <c r="H186" s="271" t="s">
        <v>631</v>
      </c>
      <c r="I186" s="271" t="s">
        <v>630</v>
      </c>
      <c r="J186" s="271" t="s">
        <v>631</v>
      </c>
      <c r="K186" s="271">
        <v>36</v>
      </c>
      <c r="L186" s="271" t="s">
        <v>632</v>
      </c>
      <c r="M186" s="271" t="s">
        <v>630</v>
      </c>
      <c r="N186" s="271" t="s">
        <v>631</v>
      </c>
      <c r="O186" s="271">
        <v>10</v>
      </c>
      <c r="P186" s="271" t="s">
        <v>631</v>
      </c>
      <c r="Q186" s="271" t="s">
        <v>630</v>
      </c>
      <c r="R186" s="271" t="s">
        <v>631</v>
      </c>
      <c r="S186" s="271" t="s">
        <v>630</v>
      </c>
      <c r="T186" s="271" t="s">
        <v>631</v>
      </c>
      <c r="U186" s="271">
        <v>97</v>
      </c>
      <c r="V186" s="271" t="s">
        <v>631</v>
      </c>
      <c r="W186" s="271" t="s">
        <v>630</v>
      </c>
      <c r="X186" s="271" t="s">
        <v>631</v>
      </c>
      <c r="Y186" s="271" t="s">
        <v>630</v>
      </c>
      <c r="Z186" s="271" t="s">
        <v>631</v>
      </c>
      <c r="AA186" s="271">
        <v>49</v>
      </c>
      <c r="AB186" s="271" t="s">
        <v>632</v>
      </c>
      <c r="AC186" s="263"/>
      <c r="AD186" s="263"/>
    </row>
    <row r="187" spans="1:30" x14ac:dyDescent="0.2">
      <c r="A187" s="263"/>
      <c r="B187" s="270" t="s">
        <v>763</v>
      </c>
      <c r="C187" s="271">
        <v>1654</v>
      </c>
      <c r="D187" s="271">
        <v>15</v>
      </c>
      <c r="E187" s="271" t="s">
        <v>630</v>
      </c>
      <c r="F187" s="271" t="s">
        <v>631</v>
      </c>
      <c r="G187" s="271">
        <v>1</v>
      </c>
      <c r="H187" s="271" t="s">
        <v>631</v>
      </c>
      <c r="I187" s="271">
        <v>1</v>
      </c>
      <c r="J187" s="271" t="s">
        <v>631</v>
      </c>
      <c r="K187" s="271">
        <v>7</v>
      </c>
      <c r="L187" s="271" t="s">
        <v>631</v>
      </c>
      <c r="M187" s="271" t="s">
        <v>630</v>
      </c>
      <c r="N187" s="271" t="s">
        <v>631</v>
      </c>
      <c r="O187" s="271">
        <v>27</v>
      </c>
      <c r="P187" s="271" t="s">
        <v>631</v>
      </c>
      <c r="Q187" s="271" t="s">
        <v>630</v>
      </c>
      <c r="R187" s="271" t="s">
        <v>631</v>
      </c>
      <c r="S187" s="271">
        <v>98</v>
      </c>
      <c r="T187" s="271" t="s">
        <v>631</v>
      </c>
      <c r="U187" s="271">
        <v>116</v>
      </c>
      <c r="V187" s="271" t="s">
        <v>631</v>
      </c>
      <c r="W187" s="271">
        <v>75</v>
      </c>
      <c r="X187" s="271" t="s">
        <v>631</v>
      </c>
      <c r="Y187" s="271" t="s">
        <v>630</v>
      </c>
      <c r="Z187" s="271" t="s">
        <v>631</v>
      </c>
      <c r="AA187" s="271">
        <v>15</v>
      </c>
      <c r="AB187" s="271" t="s">
        <v>631</v>
      </c>
      <c r="AC187" s="263"/>
      <c r="AD187" s="263"/>
    </row>
    <row r="188" spans="1:30" x14ac:dyDescent="0.2">
      <c r="A188" s="263"/>
      <c r="B188" s="270" t="s">
        <v>41</v>
      </c>
      <c r="C188" s="271">
        <v>12886</v>
      </c>
      <c r="D188" s="271">
        <v>17</v>
      </c>
      <c r="E188" s="271" t="s">
        <v>630</v>
      </c>
      <c r="F188" s="271" t="s">
        <v>631</v>
      </c>
      <c r="G188" s="271">
        <v>10</v>
      </c>
      <c r="H188" s="271" t="s">
        <v>631</v>
      </c>
      <c r="I188" s="271">
        <v>8</v>
      </c>
      <c r="J188" s="271" t="s">
        <v>632</v>
      </c>
      <c r="K188" s="271">
        <v>32</v>
      </c>
      <c r="L188" s="271" t="s">
        <v>631</v>
      </c>
      <c r="M188" s="271" t="s">
        <v>630</v>
      </c>
      <c r="N188" s="271" t="s">
        <v>631</v>
      </c>
      <c r="O188" s="271">
        <v>30</v>
      </c>
      <c r="P188" s="271" t="s">
        <v>641</v>
      </c>
      <c r="Q188" s="271" t="s">
        <v>630</v>
      </c>
      <c r="R188" s="271" t="s">
        <v>631</v>
      </c>
      <c r="S188" s="271" t="s">
        <v>630</v>
      </c>
      <c r="T188" s="271" t="s">
        <v>631</v>
      </c>
      <c r="U188" s="271">
        <v>101</v>
      </c>
      <c r="V188" s="271" t="s">
        <v>631</v>
      </c>
      <c r="W188" s="271">
        <v>75</v>
      </c>
      <c r="X188" s="271" t="s">
        <v>631</v>
      </c>
      <c r="Y188" s="271" t="s">
        <v>630</v>
      </c>
      <c r="Z188" s="271" t="s">
        <v>631</v>
      </c>
      <c r="AA188" s="271" t="s">
        <v>630</v>
      </c>
      <c r="AB188" s="271" t="s">
        <v>631</v>
      </c>
      <c r="AC188" s="263"/>
      <c r="AD188" s="263"/>
    </row>
    <row r="189" spans="1:30" x14ac:dyDescent="0.2">
      <c r="A189" s="263"/>
      <c r="B189" s="270" t="s">
        <v>83</v>
      </c>
      <c r="C189" s="271">
        <v>978</v>
      </c>
      <c r="D189" s="271">
        <v>19</v>
      </c>
      <c r="E189" s="271" t="s">
        <v>630</v>
      </c>
      <c r="F189" s="271" t="s">
        <v>631</v>
      </c>
      <c r="G189" s="271" t="s">
        <v>630</v>
      </c>
      <c r="H189" s="271" t="s">
        <v>631</v>
      </c>
      <c r="I189" s="271">
        <v>2</v>
      </c>
      <c r="J189" s="271" t="s">
        <v>632</v>
      </c>
      <c r="K189" s="271">
        <v>21</v>
      </c>
      <c r="L189" s="271" t="s">
        <v>632</v>
      </c>
      <c r="M189" s="271" t="s">
        <v>630</v>
      </c>
      <c r="N189" s="271" t="s">
        <v>631</v>
      </c>
      <c r="O189" s="271" t="s">
        <v>630</v>
      </c>
      <c r="P189" s="271" t="s">
        <v>631</v>
      </c>
      <c r="Q189" s="271" t="s">
        <v>630</v>
      </c>
      <c r="R189" s="271" t="s">
        <v>631</v>
      </c>
      <c r="S189" s="271">
        <v>96</v>
      </c>
      <c r="T189" s="271" t="s">
        <v>632</v>
      </c>
      <c r="U189" s="271" t="s">
        <v>630</v>
      </c>
      <c r="V189" s="271" t="s">
        <v>631</v>
      </c>
      <c r="W189" s="271" t="s">
        <v>630</v>
      </c>
      <c r="X189" s="271" t="s">
        <v>631</v>
      </c>
      <c r="Y189" s="271" t="s">
        <v>630</v>
      </c>
      <c r="Z189" s="271" t="s">
        <v>631</v>
      </c>
      <c r="AA189" s="271" t="s">
        <v>630</v>
      </c>
      <c r="AB189" s="271" t="s">
        <v>631</v>
      </c>
      <c r="AC189" s="263"/>
      <c r="AD189" s="263"/>
    </row>
    <row r="190" spans="1:30" x14ac:dyDescent="0.2">
      <c r="A190" s="263"/>
      <c r="B190" s="270" t="s">
        <v>764</v>
      </c>
      <c r="C190" s="271" t="s">
        <v>630</v>
      </c>
      <c r="D190" s="271" t="s">
        <v>630</v>
      </c>
      <c r="E190" s="271">
        <v>2</v>
      </c>
      <c r="F190" s="271" t="s">
        <v>631</v>
      </c>
      <c r="G190" s="271">
        <v>8</v>
      </c>
      <c r="H190" s="271" t="s">
        <v>631</v>
      </c>
      <c r="I190" s="271">
        <v>3</v>
      </c>
      <c r="J190" s="271" t="s">
        <v>632</v>
      </c>
      <c r="K190" s="271">
        <v>42</v>
      </c>
      <c r="L190" s="271" t="s">
        <v>632</v>
      </c>
      <c r="M190" s="271">
        <v>83</v>
      </c>
      <c r="N190" s="271" t="s">
        <v>631</v>
      </c>
      <c r="O190" s="271">
        <v>69</v>
      </c>
      <c r="P190" s="271" t="s">
        <v>631</v>
      </c>
      <c r="Q190" s="271">
        <v>89</v>
      </c>
      <c r="R190" s="271" t="s">
        <v>631</v>
      </c>
      <c r="S190" s="271">
        <v>95</v>
      </c>
      <c r="T190" s="271" t="s">
        <v>631</v>
      </c>
      <c r="U190" s="271" t="s">
        <v>630</v>
      </c>
      <c r="V190" s="271" t="s">
        <v>631</v>
      </c>
      <c r="W190" s="271" t="s">
        <v>630</v>
      </c>
      <c r="X190" s="271" t="s">
        <v>631</v>
      </c>
      <c r="Y190" s="271">
        <v>57</v>
      </c>
      <c r="Z190" s="271" t="s">
        <v>632</v>
      </c>
      <c r="AA190" s="271">
        <v>31</v>
      </c>
      <c r="AB190" s="271" t="s">
        <v>632</v>
      </c>
      <c r="AC190" s="263"/>
      <c r="AD190" s="263"/>
    </row>
    <row r="191" spans="1:30" x14ac:dyDescent="0.2">
      <c r="A191" s="263"/>
      <c r="B191" s="270" t="s">
        <v>765</v>
      </c>
      <c r="C191" s="271">
        <v>9201</v>
      </c>
      <c r="D191" s="271">
        <v>24</v>
      </c>
      <c r="E191" s="271">
        <v>2</v>
      </c>
      <c r="F191" s="271" t="s">
        <v>631</v>
      </c>
      <c r="G191" s="271">
        <v>20</v>
      </c>
      <c r="H191" s="271" t="s">
        <v>631</v>
      </c>
      <c r="I191" s="271">
        <v>33</v>
      </c>
      <c r="J191" s="271" t="s">
        <v>631</v>
      </c>
      <c r="K191" s="271">
        <v>146</v>
      </c>
      <c r="L191" s="271" t="s">
        <v>631</v>
      </c>
      <c r="M191" s="271">
        <v>52</v>
      </c>
      <c r="N191" s="271" t="s">
        <v>631</v>
      </c>
      <c r="O191" s="271">
        <v>62</v>
      </c>
      <c r="P191" s="271" t="s">
        <v>631</v>
      </c>
      <c r="Q191" s="271">
        <v>88</v>
      </c>
      <c r="R191" s="271" t="s">
        <v>631</v>
      </c>
      <c r="S191" s="271">
        <v>82</v>
      </c>
      <c r="T191" s="271" t="s">
        <v>631</v>
      </c>
      <c r="U191" s="271">
        <v>34</v>
      </c>
      <c r="V191" s="271" t="s">
        <v>631</v>
      </c>
      <c r="W191" s="271">
        <v>15</v>
      </c>
      <c r="X191" s="271" t="s">
        <v>631</v>
      </c>
      <c r="Y191" s="271">
        <v>36</v>
      </c>
      <c r="Z191" s="271" t="s">
        <v>631</v>
      </c>
      <c r="AA191" s="271">
        <v>36</v>
      </c>
      <c r="AB191" s="271" t="s">
        <v>631</v>
      </c>
      <c r="AC191" s="263"/>
      <c r="AD191" s="263"/>
    </row>
    <row r="192" spans="1:30" x14ac:dyDescent="0.2">
      <c r="A192" s="263"/>
      <c r="B192" s="270" t="s">
        <v>42</v>
      </c>
      <c r="C192" s="271">
        <v>4198</v>
      </c>
      <c r="D192" s="271">
        <v>9</v>
      </c>
      <c r="E192" s="271">
        <v>0</v>
      </c>
      <c r="F192" s="271" t="s">
        <v>631</v>
      </c>
      <c r="G192" s="271">
        <v>7</v>
      </c>
      <c r="H192" s="271" t="s">
        <v>631</v>
      </c>
      <c r="I192" s="271">
        <v>4</v>
      </c>
      <c r="J192" s="271" t="s">
        <v>631</v>
      </c>
      <c r="K192" s="271">
        <v>28</v>
      </c>
      <c r="L192" s="271" t="s">
        <v>631</v>
      </c>
      <c r="M192" s="271">
        <v>2</v>
      </c>
      <c r="N192" s="271" t="s">
        <v>631</v>
      </c>
      <c r="O192" s="271">
        <v>2</v>
      </c>
      <c r="P192" s="271" t="s">
        <v>631</v>
      </c>
      <c r="Q192" s="271">
        <v>97</v>
      </c>
      <c r="R192" s="271" t="s">
        <v>631</v>
      </c>
      <c r="S192" s="271">
        <v>96</v>
      </c>
      <c r="T192" s="271" t="s">
        <v>631</v>
      </c>
      <c r="U192" s="271">
        <v>99</v>
      </c>
      <c r="V192" s="271" t="s">
        <v>631</v>
      </c>
      <c r="W192" s="271">
        <v>95</v>
      </c>
      <c r="X192" s="271" t="s">
        <v>631</v>
      </c>
      <c r="Y192" s="271">
        <v>37</v>
      </c>
      <c r="Z192" s="271" t="s">
        <v>631</v>
      </c>
      <c r="AA192" s="271">
        <v>43</v>
      </c>
      <c r="AB192" s="271" t="s">
        <v>631</v>
      </c>
      <c r="AC192" s="263"/>
      <c r="AD192" s="263"/>
    </row>
    <row r="193" spans="1:30" x14ac:dyDescent="0.2">
      <c r="A193" s="263"/>
      <c r="B193" s="270" t="s">
        <v>766</v>
      </c>
      <c r="C193" s="271">
        <v>766</v>
      </c>
      <c r="D193" s="271">
        <v>8</v>
      </c>
      <c r="E193" s="271" t="s">
        <v>630</v>
      </c>
      <c r="F193" s="271" t="s">
        <v>631</v>
      </c>
      <c r="G193" s="271" t="s">
        <v>630</v>
      </c>
      <c r="H193" s="271" t="s">
        <v>631</v>
      </c>
      <c r="I193" s="271" t="s">
        <v>630</v>
      </c>
      <c r="J193" s="271" t="s">
        <v>631</v>
      </c>
      <c r="K193" s="271">
        <v>34</v>
      </c>
      <c r="L193" s="271" t="s">
        <v>631</v>
      </c>
      <c r="M193" s="271" t="s">
        <v>630</v>
      </c>
      <c r="N193" s="271" t="s">
        <v>631</v>
      </c>
      <c r="O193" s="271" t="s">
        <v>630</v>
      </c>
      <c r="P193" s="271" t="s">
        <v>631</v>
      </c>
      <c r="Q193" s="271" t="s">
        <v>630</v>
      </c>
      <c r="R193" s="271" t="s">
        <v>631</v>
      </c>
      <c r="S193" s="271" t="s">
        <v>630</v>
      </c>
      <c r="T193" s="271" t="s">
        <v>631</v>
      </c>
      <c r="U193" s="271" t="s">
        <v>630</v>
      </c>
      <c r="V193" s="271" t="s">
        <v>631</v>
      </c>
      <c r="W193" s="271" t="s">
        <v>630</v>
      </c>
      <c r="X193" s="271" t="s">
        <v>631</v>
      </c>
      <c r="Y193" s="271" t="s">
        <v>630</v>
      </c>
      <c r="Z193" s="271" t="s">
        <v>631</v>
      </c>
      <c r="AA193" s="271" t="s">
        <v>630</v>
      </c>
      <c r="AB193" s="271" t="s">
        <v>631</v>
      </c>
      <c r="AC193" s="263"/>
      <c r="AD193" s="263"/>
    </row>
    <row r="194" spans="1:30" x14ac:dyDescent="0.2">
      <c r="A194" s="263"/>
      <c r="B194" s="270" t="s">
        <v>95</v>
      </c>
      <c r="C194" s="271">
        <v>7196</v>
      </c>
      <c r="D194" s="271">
        <v>11</v>
      </c>
      <c r="E194" s="271" t="s">
        <v>630</v>
      </c>
      <c r="F194" s="271" t="s">
        <v>631</v>
      </c>
      <c r="G194" s="271" t="s">
        <v>630</v>
      </c>
      <c r="H194" s="271" t="s">
        <v>631</v>
      </c>
      <c r="I194" s="271" t="s">
        <v>630</v>
      </c>
      <c r="J194" s="271" t="s">
        <v>631</v>
      </c>
      <c r="K194" s="271">
        <v>22</v>
      </c>
      <c r="L194" s="271" t="s">
        <v>631</v>
      </c>
      <c r="M194" s="271" t="s">
        <v>630</v>
      </c>
      <c r="N194" s="271" t="s">
        <v>631</v>
      </c>
      <c r="O194" s="271" t="s">
        <v>630</v>
      </c>
      <c r="P194" s="271" t="s">
        <v>631</v>
      </c>
      <c r="Q194" s="271" t="s">
        <v>630</v>
      </c>
      <c r="R194" s="271" t="s">
        <v>631</v>
      </c>
      <c r="S194" s="271" t="s">
        <v>630</v>
      </c>
      <c r="T194" s="271" t="s">
        <v>631</v>
      </c>
      <c r="U194" s="271">
        <v>106</v>
      </c>
      <c r="V194" s="271" t="s">
        <v>631</v>
      </c>
      <c r="W194" s="271">
        <v>88</v>
      </c>
      <c r="X194" s="271" t="s">
        <v>631</v>
      </c>
      <c r="Y194" s="271" t="s">
        <v>630</v>
      </c>
      <c r="Z194" s="271" t="s">
        <v>631</v>
      </c>
      <c r="AA194" s="271" t="s">
        <v>630</v>
      </c>
      <c r="AB194" s="271" t="s">
        <v>631</v>
      </c>
      <c r="AC194" s="263"/>
      <c r="AD194" s="263"/>
    </row>
    <row r="195" spans="1:30" x14ac:dyDescent="0.2">
      <c r="A195" s="263"/>
      <c r="B195" s="270" t="s">
        <v>767</v>
      </c>
      <c r="C195" s="271">
        <v>11170</v>
      </c>
      <c r="D195" s="271">
        <v>23</v>
      </c>
      <c r="E195" s="271">
        <v>4</v>
      </c>
      <c r="F195" s="271" t="s">
        <v>631</v>
      </c>
      <c r="G195" s="271">
        <v>18</v>
      </c>
      <c r="H195" s="271" t="s">
        <v>631</v>
      </c>
      <c r="I195" s="271">
        <v>28</v>
      </c>
      <c r="J195" s="271" t="s">
        <v>631</v>
      </c>
      <c r="K195" s="271">
        <v>128</v>
      </c>
      <c r="L195" s="271" t="s">
        <v>632</v>
      </c>
      <c r="M195" s="271">
        <v>39</v>
      </c>
      <c r="N195" s="271" t="s">
        <v>631</v>
      </c>
      <c r="O195" s="271">
        <v>52</v>
      </c>
      <c r="P195" s="271" t="s">
        <v>631</v>
      </c>
      <c r="Q195" s="271">
        <v>79</v>
      </c>
      <c r="R195" s="271" t="s">
        <v>631</v>
      </c>
      <c r="S195" s="271">
        <v>70</v>
      </c>
      <c r="T195" s="271" t="s">
        <v>631</v>
      </c>
      <c r="U195" s="271">
        <v>46</v>
      </c>
      <c r="V195" s="271" t="s">
        <v>631</v>
      </c>
      <c r="W195" s="271">
        <v>10</v>
      </c>
      <c r="X195" s="271" t="s">
        <v>631</v>
      </c>
      <c r="Y195" s="271">
        <v>42</v>
      </c>
      <c r="Z195" s="271" t="s">
        <v>631</v>
      </c>
      <c r="AA195" s="271">
        <v>37</v>
      </c>
      <c r="AB195" s="271" t="s">
        <v>631</v>
      </c>
      <c r="AC195" s="263"/>
      <c r="AD195" s="263"/>
    </row>
    <row r="196" spans="1:30" x14ac:dyDescent="0.2">
      <c r="A196" s="263"/>
      <c r="B196" s="270" t="s">
        <v>768</v>
      </c>
      <c r="C196" s="271">
        <v>42854</v>
      </c>
      <c r="D196" s="271">
        <v>13</v>
      </c>
      <c r="E196" s="271" t="s">
        <v>630</v>
      </c>
      <c r="F196" s="271" t="s">
        <v>631</v>
      </c>
      <c r="G196" s="271" t="s">
        <v>630</v>
      </c>
      <c r="H196" s="271" t="s">
        <v>631</v>
      </c>
      <c r="I196" s="271" t="s">
        <v>630</v>
      </c>
      <c r="J196" s="271" t="s">
        <v>631</v>
      </c>
      <c r="K196" s="271">
        <v>34</v>
      </c>
      <c r="L196" s="271" t="s">
        <v>631</v>
      </c>
      <c r="M196" s="271" t="s">
        <v>630</v>
      </c>
      <c r="N196" s="271" t="s">
        <v>631</v>
      </c>
      <c r="O196" s="271" t="s">
        <v>630</v>
      </c>
      <c r="P196" s="271" t="s">
        <v>631</v>
      </c>
      <c r="Q196" s="271" t="s">
        <v>630</v>
      </c>
      <c r="R196" s="271" t="s">
        <v>631</v>
      </c>
      <c r="S196" s="271" t="s">
        <v>630</v>
      </c>
      <c r="T196" s="271" t="s">
        <v>631</v>
      </c>
      <c r="U196" s="271">
        <v>98</v>
      </c>
      <c r="V196" s="271" t="s">
        <v>631</v>
      </c>
      <c r="W196" s="271">
        <v>89</v>
      </c>
      <c r="X196" s="271" t="s">
        <v>631</v>
      </c>
      <c r="Y196" s="271" t="s">
        <v>630</v>
      </c>
      <c r="Z196" s="271" t="s">
        <v>631</v>
      </c>
      <c r="AA196" s="271" t="s">
        <v>630</v>
      </c>
      <c r="AB196" s="271" t="s">
        <v>631</v>
      </c>
      <c r="AC196" s="263"/>
      <c r="AD196" s="263"/>
    </row>
    <row r="197" spans="1:30" x14ac:dyDescent="0.2">
      <c r="A197" s="263"/>
      <c r="B197" s="270" t="s">
        <v>769</v>
      </c>
      <c r="C197" s="271">
        <v>516</v>
      </c>
      <c r="D197" s="271">
        <v>15</v>
      </c>
      <c r="E197" s="271" t="s">
        <v>630</v>
      </c>
      <c r="F197" s="271" t="s">
        <v>631</v>
      </c>
      <c r="G197" s="271" t="s">
        <v>630</v>
      </c>
      <c r="H197" s="271" t="s">
        <v>631</v>
      </c>
      <c r="I197" s="271" t="s">
        <v>630</v>
      </c>
      <c r="J197" s="271" t="s">
        <v>631</v>
      </c>
      <c r="K197" s="271">
        <v>60</v>
      </c>
      <c r="L197" s="271" t="s">
        <v>632</v>
      </c>
      <c r="M197" s="271" t="s">
        <v>630</v>
      </c>
      <c r="N197" s="271" t="s">
        <v>631</v>
      </c>
      <c r="O197" s="271" t="s">
        <v>630</v>
      </c>
      <c r="P197" s="271" t="s">
        <v>631</v>
      </c>
      <c r="Q197" s="271" t="s">
        <v>630</v>
      </c>
      <c r="R197" s="271" t="s">
        <v>631</v>
      </c>
      <c r="S197" s="271" t="s">
        <v>630</v>
      </c>
      <c r="T197" s="271" t="s">
        <v>631</v>
      </c>
      <c r="U197" s="271">
        <v>110</v>
      </c>
      <c r="V197" s="271" t="s">
        <v>631</v>
      </c>
      <c r="W197" s="271">
        <v>71</v>
      </c>
      <c r="X197" s="271" t="s">
        <v>631</v>
      </c>
      <c r="Y197" s="271" t="s">
        <v>630</v>
      </c>
      <c r="Z197" s="271" t="s">
        <v>631</v>
      </c>
      <c r="AA197" s="271" t="s">
        <v>630</v>
      </c>
      <c r="AB197" s="271" t="s">
        <v>631</v>
      </c>
      <c r="AC197" s="263"/>
      <c r="AD197" s="263"/>
    </row>
    <row r="198" spans="1:30" x14ac:dyDescent="0.2">
      <c r="A198" s="263"/>
      <c r="B198" s="270" t="s">
        <v>155</v>
      </c>
      <c r="C198" s="271">
        <v>5560</v>
      </c>
      <c r="D198" s="271">
        <v>19</v>
      </c>
      <c r="E198" s="271" t="s">
        <v>630</v>
      </c>
      <c r="F198" s="271" t="s">
        <v>631</v>
      </c>
      <c r="G198" s="271">
        <v>5</v>
      </c>
      <c r="H198" s="271" t="s">
        <v>631</v>
      </c>
      <c r="I198" s="271">
        <v>2</v>
      </c>
      <c r="J198" s="271" t="s">
        <v>632</v>
      </c>
      <c r="K198" s="271">
        <v>26</v>
      </c>
      <c r="L198" s="271" t="s">
        <v>632</v>
      </c>
      <c r="M198" s="271">
        <v>63</v>
      </c>
      <c r="N198" s="271" t="s">
        <v>632</v>
      </c>
      <c r="O198" s="271">
        <v>63</v>
      </c>
      <c r="P198" s="271" t="s">
        <v>632</v>
      </c>
      <c r="Q198" s="271" t="s">
        <v>630</v>
      </c>
      <c r="R198" s="271" t="s">
        <v>631</v>
      </c>
      <c r="S198" s="271" t="s">
        <v>630</v>
      </c>
      <c r="T198" s="271" t="s">
        <v>631</v>
      </c>
      <c r="U198" s="271">
        <v>95</v>
      </c>
      <c r="V198" s="271" t="s">
        <v>631</v>
      </c>
      <c r="W198" s="271">
        <v>129</v>
      </c>
      <c r="X198" s="271" t="s">
        <v>631</v>
      </c>
      <c r="Y198" s="271" t="s">
        <v>630</v>
      </c>
      <c r="Z198" s="271" t="s">
        <v>631</v>
      </c>
      <c r="AA198" s="271">
        <v>27</v>
      </c>
      <c r="AB198" s="271" t="s">
        <v>632</v>
      </c>
      <c r="AC198" s="263"/>
      <c r="AD198" s="263"/>
    </row>
    <row r="199" spans="1:30" x14ac:dyDescent="0.2">
      <c r="A199" s="263"/>
      <c r="B199" s="270" t="s">
        <v>770</v>
      </c>
      <c r="C199" s="271">
        <v>53</v>
      </c>
      <c r="D199" s="271">
        <v>21</v>
      </c>
      <c r="E199" s="271">
        <v>4</v>
      </c>
      <c r="F199" s="271" t="s">
        <v>631</v>
      </c>
      <c r="G199" s="271">
        <v>11</v>
      </c>
      <c r="H199" s="271" t="s">
        <v>631</v>
      </c>
      <c r="I199" s="271">
        <v>13</v>
      </c>
      <c r="J199" s="271" t="s">
        <v>631</v>
      </c>
      <c r="K199" s="271">
        <v>66</v>
      </c>
      <c r="L199" s="271" t="s">
        <v>631</v>
      </c>
      <c r="M199" s="271">
        <v>63</v>
      </c>
      <c r="N199" s="271" t="s">
        <v>631</v>
      </c>
      <c r="O199" s="271">
        <v>56</v>
      </c>
      <c r="P199" s="271" t="s">
        <v>631</v>
      </c>
      <c r="Q199" s="271">
        <v>58</v>
      </c>
      <c r="R199" s="271" t="s">
        <v>631</v>
      </c>
      <c r="S199" s="271">
        <v>58</v>
      </c>
      <c r="T199" s="271" t="s">
        <v>631</v>
      </c>
      <c r="U199" s="271">
        <v>67</v>
      </c>
      <c r="V199" s="271" t="s">
        <v>631</v>
      </c>
      <c r="W199" s="271">
        <v>47</v>
      </c>
      <c r="X199" s="271" t="s">
        <v>631</v>
      </c>
      <c r="Y199" s="271" t="s">
        <v>630</v>
      </c>
      <c r="Z199" s="271" t="s">
        <v>631</v>
      </c>
      <c r="AA199" s="271">
        <v>14</v>
      </c>
      <c r="AB199" s="271" t="s">
        <v>632</v>
      </c>
      <c r="AC199" s="263"/>
      <c r="AD199" s="263"/>
    </row>
    <row r="200" spans="1:30" x14ac:dyDescent="0.2">
      <c r="A200" s="263"/>
      <c r="B200" s="270" t="s">
        <v>771</v>
      </c>
      <c r="C200" s="271">
        <v>5562</v>
      </c>
      <c r="D200" s="271">
        <v>18</v>
      </c>
      <c r="E200" s="271" t="s">
        <v>630</v>
      </c>
      <c r="F200" s="271" t="s">
        <v>631</v>
      </c>
      <c r="G200" s="271">
        <v>16</v>
      </c>
      <c r="H200" s="271" t="s">
        <v>632</v>
      </c>
      <c r="I200" s="271" t="s">
        <v>630</v>
      </c>
      <c r="J200" s="271" t="s">
        <v>631</v>
      </c>
      <c r="K200" s="271">
        <v>101</v>
      </c>
      <c r="L200" s="271" t="s">
        <v>631</v>
      </c>
      <c r="M200" s="271" t="s">
        <v>630</v>
      </c>
      <c r="N200" s="271" t="s">
        <v>631</v>
      </c>
      <c r="O200" s="271" t="s">
        <v>630</v>
      </c>
      <c r="P200" s="271" t="s">
        <v>631</v>
      </c>
      <c r="Q200" s="271" t="s">
        <v>630</v>
      </c>
      <c r="R200" s="271" t="s">
        <v>631</v>
      </c>
      <c r="S200" s="271" t="s">
        <v>630</v>
      </c>
      <c r="T200" s="271" t="s">
        <v>631</v>
      </c>
      <c r="U200" s="271">
        <v>92</v>
      </c>
      <c r="V200" s="271" t="s">
        <v>631</v>
      </c>
      <c r="W200" s="271">
        <v>76</v>
      </c>
      <c r="X200" s="271" t="s">
        <v>631</v>
      </c>
      <c r="Y200" s="271" t="s">
        <v>630</v>
      </c>
      <c r="Z200" s="271" t="s">
        <v>631</v>
      </c>
      <c r="AA200" s="271" t="s">
        <v>630</v>
      </c>
      <c r="AB200" s="271" t="s">
        <v>631</v>
      </c>
      <c r="AC200" s="263"/>
      <c r="AD200" s="263"/>
    </row>
    <row r="201" spans="1:30" x14ac:dyDescent="0.2">
      <c r="A201" s="263"/>
      <c r="B201" s="270" t="s">
        <v>772</v>
      </c>
      <c r="C201" s="271">
        <v>14307</v>
      </c>
      <c r="D201" s="271">
        <v>16</v>
      </c>
      <c r="E201" s="271" t="s">
        <v>630</v>
      </c>
      <c r="F201" s="271" t="s">
        <v>631</v>
      </c>
      <c r="G201" s="271">
        <v>8</v>
      </c>
      <c r="H201" s="271" t="s">
        <v>631</v>
      </c>
      <c r="I201" s="271">
        <v>3</v>
      </c>
      <c r="J201" s="271" t="s">
        <v>631</v>
      </c>
      <c r="K201" s="271">
        <v>38</v>
      </c>
      <c r="L201" s="271" t="s">
        <v>631</v>
      </c>
      <c r="M201" s="271" t="s">
        <v>630</v>
      </c>
      <c r="N201" s="271" t="s">
        <v>631</v>
      </c>
      <c r="O201" s="271">
        <v>35</v>
      </c>
      <c r="P201" s="271" t="s">
        <v>631</v>
      </c>
      <c r="Q201" s="271">
        <v>97</v>
      </c>
      <c r="R201" s="271" t="s">
        <v>631</v>
      </c>
      <c r="S201" s="271">
        <v>94</v>
      </c>
      <c r="T201" s="271" t="s">
        <v>631</v>
      </c>
      <c r="U201" s="271">
        <v>92</v>
      </c>
      <c r="V201" s="271" t="s">
        <v>631</v>
      </c>
      <c r="W201" s="271" t="s">
        <v>630</v>
      </c>
      <c r="X201" s="271" t="s">
        <v>631</v>
      </c>
      <c r="Y201" s="271" t="s">
        <v>630</v>
      </c>
      <c r="Z201" s="271" t="s">
        <v>631</v>
      </c>
      <c r="AA201" s="271">
        <v>51</v>
      </c>
      <c r="AB201" s="271" t="s">
        <v>631</v>
      </c>
      <c r="AC201" s="263"/>
      <c r="AD201" s="263"/>
    </row>
    <row r="202" spans="1:30" x14ac:dyDescent="0.2">
      <c r="A202" s="263"/>
      <c r="B202" s="270" t="s">
        <v>773</v>
      </c>
      <c r="C202" s="271">
        <v>6057</v>
      </c>
      <c r="D202" s="271">
        <v>25</v>
      </c>
      <c r="E202" s="271" t="s">
        <v>630</v>
      </c>
      <c r="F202" s="271" t="s">
        <v>631</v>
      </c>
      <c r="G202" s="271">
        <v>13</v>
      </c>
      <c r="H202" s="271" t="s">
        <v>631</v>
      </c>
      <c r="I202" s="271" t="s">
        <v>630</v>
      </c>
      <c r="J202" s="271" t="s">
        <v>631</v>
      </c>
      <c r="K202" s="271">
        <v>80</v>
      </c>
      <c r="L202" s="271" t="s">
        <v>632</v>
      </c>
      <c r="M202" s="271" t="s">
        <v>630</v>
      </c>
      <c r="N202" s="271" t="s">
        <v>631</v>
      </c>
      <c r="O202" s="271" t="s">
        <v>630</v>
      </c>
      <c r="P202" s="271" t="s">
        <v>631</v>
      </c>
      <c r="Q202" s="271" t="s">
        <v>630</v>
      </c>
      <c r="R202" s="271" t="s">
        <v>631</v>
      </c>
      <c r="S202" s="271" t="s">
        <v>630</v>
      </c>
      <c r="T202" s="271" t="s">
        <v>631</v>
      </c>
      <c r="U202" s="271">
        <v>57</v>
      </c>
      <c r="V202" s="271" t="s">
        <v>631</v>
      </c>
      <c r="W202" s="271">
        <v>37</v>
      </c>
      <c r="X202" s="271" t="s">
        <v>631</v>
      </c>
      <c r="Y202" s="271" t="s">
        <v>630</v>
      </c>
      <c r="Z202" s="271" t="s">
        <v>631</v>
      </c>
      <c r="AA202" s="271">
        <v>2</v>
      </c>
      <c r="AB202" s="271" t="s">
        <v>774</v>
      </c>
      <c r="AC202" s="263"/>
      <c r="AD202" s="263"/>
    </row>
    <row r="203" spans="1:30" x14ac:dyDescent="0.2">
      <c r="A203" s="263"/>
      <c r="B203" s="270" t="s">
        <v>775</v>
      </c>
      <c r="C203" s="271">
        <v>3475</v>
      </c>
      <c r="D203" s="271">
        <v>24</v>
      </c>
      <c r="E203" s="271">
        <v>1</v>
      </c>
      <c r="F203" s="271" t="s">
        <v>631</v>
      </c>
      <c r="G203" s="271">
        <v>18</v>
      </c>
      <c r="H203" s="271" t="s">
        <v>631</v>
      </c>
      <c r="I203" s="271">
        <v>34</v>
      </c>
      <c r="J203" s="271" t="s">
        <v>632</v>
      </c>
      <c r="K203" s="271">
        <v>151</v>
      </c>
      <c r="L203" s="271" t="s">
        <v>632</v>
      </c>
      <c r="M203" s="271">
        <v>55</v>
      </c>
      <c r="N203" s="271" t="s">
        <v>631</v>
      </c>
      <c r="O203" s="271">
        <v>61</v>
      </c>
      <c r="P203" s="271" t="s">
        <v>631</v>
      </c>
      <c r="Q203" s="271">
        <v>80</v>
      </c>
      <c r="R203" s="271" t="s">
        <v>631</v>
      </c>
      <c r="S203" s="271">
        <v>71</v>
      </c>
      <c r="T203" s="271" t="s">
        <v>631</v>
      </c>
      <c r="U203" s="271">
        <v>68</v>
      </c>
      <c r="V203" s="271" t="s">
        <v>631</v>
      </c>
      <c r="W203" s="271" t="s">
        <v>630</v>
      </c>
      <c r="X203" s="271" t="s">
        <v>631</v>
      </c>
      <c r="Y203" s="271">
        <v>38</v>
      </c>
      <c r="Z203" s="271" t="s">
        <v>631</v>
      </c>
      <c r="AA203" s="271">
        <v>36</v>
      </c>
      <c r="AB203" s="271" t="s">
        <v>631</v>
      </c>
      <c r="AC203" s="263"/>
      <c r="AD203" s="263"/>
    </row>
    <row r="204" spans="1:30" x14ac:dyDescent="0.2">
      <c r="A204" s="263"/>
      <c r="B204" s="270" t="s">
        <v>776</v>
      </c>
      <c r="C204" s="271">
        <v>3357</v>
      </c>
      <c r="D204" s="271">
        <v>24</v>
      </c>
      <c r="E204" s="271">
        <v>1</v>
      </c>
      <c r="F204" s="271" t="s">
        <v>631</v>
      </c>
      <c r="G204" s="271">
        <v>23</v>
      </c>
      <c r="H204" s="271" t="s">
        <v>631</v>
      </c>
      <c r="I204" s="271">
        <v>21</v>
      </c>
      <c r="J204" s="271" t="s">
        <v>631</v>
      </c>
      <c r="K204" s="271">
        <v>112</v>
      </c>
      <c r="L204" s="271" t="s">
        <v>631</v>
      </c>
      <c r="M204" s="271">
        <v>48</v>
      </c>
      <c r="N204" s="271" t="s">
        <v>631</v>
      </c>
      <c r="O204" s="271">
        <v>48</v>
      </c>
      <c r="P204" s="271" t="s">
        <v>631</v>
      </c>
      <c r="Q204" s="271">
        <v>59</v>
      </c>
      <c r="R204" s="271" t="s">
        <v>631</v>
      </c>
      <c r="S204" s="271">
        <v>53</v>
      </c>
      <c r="T204" s="271" t="s">
        <v>631</v>
      </c>
      <c r="U204" s="271" t="s">
        <v>630</v>
      </c>
      <c r="V204" s="271" t="s">
        <v>631</v>
      </c>
      <c r="W204" s="271" t="s">
        <v>630</v>
      </c>
      <c r="X204" s="271" t="s">
        <v>631</v>
      </c>
      <c r="Y204" s="271">
        <v>42</v>
      </c>
      <c r="Z204" s="271" t="s">
        <v>631</v>
      </c>
      <c r="AA204" s="271">
        <v>46</v>
      </c>
      <c r="AB204" s="271" t="s">
        <v>631</v>
      </c>
      <c r="AC204" s="263"/>
      <c r="AD204" s="263"/>
    </row>
    <row r="205" spans="1:30" x14ac:dyDescent="0.2">
      <c r="A205" s="263"/>
      <c r="B205" s="270"/>
      <c r="C205" s="274"/>
      <c r="D205" s="273"/>
      <c r="E205" s="272"/>
      <c r="F205" s="275"/>
      <c r="G205" s="272"/>
      <c r="H205" s="275"/>
      <c r="I205" s="272"/>
      <c r="J205" s="276"/>
      <c r="K205" s="277"/>
      <c r="L205" s="277"/>
      <c r="M205" s="272"/>
      <c r="N205" s="275"/>
      <c r="O205" s="272"/>
      <c r="P205" s="278"/>
      <c r="Q205" s="272"/>
      <c r="R205" s="278"/>
      <c r="S205" s="272"/>
      <c r="T205" s="278"/>
      <c r="U205" s="263"/>
      <c r="V205" s="263"/>
      <c r="W205" s="263"/>
      <c r="X205" s="270"/>
      <c r="Y205" s="272"/>
      <c r="Z205" s="263"/>
      <c r="AA205" s="272"/>
      <c r="AB205" s="263"/>
      <c r="AC205" s="263"/>
      <c r="AD205" s="263"/>
    </row>
    <row r="206" spans="1:30" x14ac:dyDescent="0.2">
      <c r="A206" s="263"/>
      <c r="B206" s="279" t="s">
        <v>777</v>
      </c>
      <c r="C206" s="274"/>
      <c r="D206" s="273"/>
      <c r="E206" s="272"/>
      <c r="F206" s="275"/>
      <c r="G206" s="272"/>
      <c r="H206" s="275"/>
      <c r="I206" s="263"/>
      <c r="J206" s="263"/>
      <c r="K206" s="263"/>
      <c r="L206" s="263"/>
      <c r="M206" s="272"/>
      <c r="N206" s="275"/>
      <c r="O206" s="272"/>
      <c r="P206" s="278"/>
      <c r="Q206" s="272"/>
      <c r="R206" s="278"/>
      <c r="S206" s="272"/>
      <c r="T206" s="278"/>
      <c r="U206" s="281"/>
      <c r="V206" s="280"/>
      <c r="W206" s="281"/>
      <c r="X206" s="270"/>
      <c r="Y206" s="272"/>
      <c r="Z206" s="263"/>
      <c r="AA206" s="272"/>
      <c r="AB206" s="263"/>
      <c r="AC206" s="263"/>
      <c r="AD206" s="263"/>
    </row>
    <row r="207" spans="1:30" x14ac:dyDescent="0.2">
      <c r="A207" s="263"/>
      <c r="B207" s="273" t="s">
        <v>778</v>
      </c>
      <c r="C207" s="271">
        <v>215007</v>
      </c>
      <c r="D207" s="271">
        <v>23</v>
      </c>
      <c r="E207" s="271">
        <v>2</v>
      </c>
      <c r="F207" s="271" t="s">
        <v>631</v>
      </c>
      <c r="G207" s="271">
        <v>24</v>
      </c>
      <c r="H207" s="271" t="s">
        <v>631</v>
      </c>
      <c r="I207" s="271">
        <v>27</v>
      </c>
      <c r="J207" s="271" t="s">
        <v>631</v>
      </c>
      <c r="K207" s="271">
        <v>124</v>
      </c>
      <c r="L207" s="271" t="s">
        <v>631</v>
      </c>
      <c r="M207" s="271">
        <v>40</v>
      </c>
      <c r="N207" s="271" t="s">
        <v>631</v>
      </c>
      <c r="O207" s="271">
        <v>52</v>
      </c>
      <c r="P207" s="271" t="s">
        <v>631</v>
      </c>
      <c r="Q207" s="271">
        <v>65</v>
      </c>
      <c r="R207" s="271" t="s">
        <v>631</v>
      </c>
      <c r="S207" s="271">
        <v>58</v>
      </c>
      <c r="T207" s="271" t="s">
        <v>631</v>
      </c>
      <c r="U207" s="271">
        <v>49</v>
      </c>
      <c r="V207" s="271" t="s">
        <v>631</v>
      </c>
      <c r="W207" s="271">
        <v>32</v>
      </c>
      <c r="X207" s="271" t="s">
        <v>631</v>
      </c>
      <c r="Y207" s="271">
        <v>32</v>
      </c>
      <c r="Z207" s="271" t="s">
        <v>631</v>
      </c>
      <c r="AA207" s="271">
        <v>25</v>
      </c>
      <c r="AB207" s="271" t="s">
        <v>631</v>
      </c>
      <c r="AC207" s="282"/>
      <c r="AD207" s="282"/>
    </row>
    <row r="208" spans="1:30" x14ac:dyDescent="0.2">
      <c r="A208" s="263"/>
      <c r="B208" s="283" t="s">
        <v>779</v>
      </c>
      <c r="C208" s="271">
        <v>104492</v>
      </c>
      <c r="D208" s="271">
        <v>23</v>
      </c>
      <c r="E208" s="271">
        <v>3</v>
      </c>
      <c r="F208" s="271" t="s">
        <v>631</v>
      </c>
      <c r="G208" s="271">
        <v>20</v>
      </c>
      <c r="H208" s="271" t="s">
        <v>631</v>
      </c>
      <c r="I208" s="271">
        <v>26</v>
      </c>
      <c r="J208" s="271" t="s">
        <v>631</v>
      </c>
      <c r="K208" s="271">
        <v>113</v>
      </c>
      <c r="L208" s="271" t="s">
        <v>631</v>
      </c>
      <c r="M208" s="271">
        <v>46</v>
      </c>
      <c r="N208" s="271" t="s">
        <v>631</v>
      </c>
      <c r="O208" s="271">
        <v>55</v>
      </c>
      <c r="P208" s="271" t="s">
        <v>631</v>
      </c>
      <c r="Q208" s="271">
        <v>69</v>
      </c>
      <c r="R208" s="271" t="s">
        <v>631</v>
      </c>
      <c r="S208" s="271">
        <v>61</v>
      </c>
      <c r="T208" s="271" t="s">
        <v>631</v>
      </c>
      <c r="U208" s="271">
        <v>51</v>
      </c>
      <c r="V208" s="271" t="s">
        <v>631</v>
      </c>
      <c r="W208" s="271">
        <v>30</v>
      </c>
      <c r="X208" s="271" t="s">
        <v>631</v>
      </c>
      <c r="Y208" s="271">
        <v>38</v>
      </c>
      <c r="Z208" s="271" t="s">
        <v>631</v>
      </c>
      <c r="AA208" s="271">
        <v>32</v>
      </c>
      <c r="AB208" s="271" t="s">
        <v>631</v>
      </c>
      <c r="AC208" s="282"/>
      <c r="AD208" s="282"/>
    </row>
    <row r="209" spans="1:30" x14ac:dyDescent="0.2">
      <c r="A209" s="263"/>
      <c r="B209" s="283" t="s">
        <v>780</v>
      </c>
      <c r="C209" s="271">
        <v>101606</v>
      </c>
      <c r="D209" s="271">
        <v>23</v>
      </c>
      <c r="E209" s="271">
        <v>1</v>
      </c>
      <c r="F209" s="271" t="s">
        <v>631</v>
      </c>
      <c r="G209" s="271">
        <v>28</v>
      </c>
      <c r="H209" s="271" t="s">
        <v>631</v>
      </c>
      <c r="I209" s="271">
        <v>29</v>
      </c>
      <c r="J209" s="271" t="s">
        <v>631</v>
      </c>
      <c r="K209" s="271">
        <v>133</v>
      </c>
      <c r="L209" s="271" t="s">
        <v>631</v>
      </c>
      <c r="M209" s="271">
        <v>34</v>
      </c>
      <c r="N209" s="271" t="s">
        <v>631</v>
      </c>
      <c r="O209" s="271">
        <v>50</v>
      </c>
      <c r="P209" s="271" t="s">
        <v>631</v>
      </c>
      <c r="Q209" s="271">
        <v>61</v>
      </c>
      <c r="R209" s="271" t="s">
        <v>631</v>
      </c>
      <c r="S209" s="271">
        <v>56</v>
      </c>
      <c r="T209" s="271" t="s">
        <v>631</v>
      </c>
      <c r="U209" s="271">
        <v>48</v>
      </c>
      <c r="V209" s="271" t="s">
        <v>631</v>
      </c>
      <c r="W209" s="271">
        <v>34</v>
      </c>
      <c r="X209" s="271" t="s">
        <v>631</v>
      </c>
      <c r="Y209" s="271">
        <v>29</v>
      </c>
      <c r="Z209" s="271" t="s">
        <v>631</v>
      </c>
      <c r="AA209" s="271">
        <v>21</v>
      </c>
      <c r="AB209" s="271" t="s">
        <v>631</v>
      </c>
      <c r="AC209" s="282"/>
      <c r="AD209" s="282"/>
    </row>
    <row r="210" spans="1:30" x14ac:dyDescent="0.2">
      <c r="A210" s="263"/>
      <c r="B210" s="273" t="s">
        <v>781</v>
      </c>
      <c r="C210" s="271">
        <v>79366</v>
      </c>
      <c r="D210" s="271">
        <v>18</v>
      </c>
      <c r="E210" s="271" t="s">
        <v>630</v>
      </c>
      <c r="F210" s="271" t="s">
        <v>631</v>
      </c>
      <c r="G210" s="271">
        <v>14</v>
      </c>
      <c r="H210" s="271" t="s">
        <v>631</v>
      </c>
      <c r="I210" s="271">
        <v>7</v>
      </c>
      <c r="J210" s="271" t="s">
        <v>631</v>
      </c>
      <c r="K210" s="271" t="s">
        <v>630</v>
      </c>
      <c r="L210" s="271" t="s">
        <v>631</v>
      </c>
      <c r="M210" s="271" t="s">
        <v>630</v>
      </c>
      <c r="N210" s="271" t="s">
        <v>631</v>
      </c>
      <c r="O210" s="271">
        <v>53</v>
      </c>
      <c r="P210" s="271" t="s">
        <v>631</v>
      </c>
      <c r="Q210" s="271" t="s">
        <v>630</v>
      </c>
      <c r="R210" s="271" t="s">
        <v>631</v>
      </c>
      <c r="S210" s="271" t="s">
        <v>630</v>
      </c>
      <c r="T210" s="271" t="s">
        <v>631</v>
      </c>
      <c r="U210" s="271">
        <v>92</v>
      </c>
      <c r="V210" s="271" t="s">
        <v>631</v>
      </c>
      <c r="W210" s="271">
        <v>62</v>
      </c>
      <c r="X210" s="271" t="s">
        <v>631</v>
      </c>
      <c r="Y210" s="271" t="s">
        <v>630</v>
      </c>
      <c r="Z210" s="271" t="s">
        <v>631</v>
      </c>
      <c r="AA210" s="271" t="s">
        <v>630</v>
      </c>
      <c r="AB210" s="271" t="s">
        <v>631</v>
      </c>
      <c r="AC210" s="282"/>
      <c r="AD210" s="282"/>
    </row>
    <row r="211" spans="1:30" x14ac:dyDescent="0.2">
      <c r="A211" s="263"/>
      <c r="B211" s="273" t="s">
        <v>782</v>
      </c>
      <c r="C211" s="271">
        <v>329532</v>
      </c>
      <c r="D211" s="271">
        <v>20</v>
      </c>
      <c r="E211" s="271">
        <v>4</v>
      </c>
      <c r="F211" s="271" t="s">
        <v>631</v>
      </c>
      <c r="G211" s="271">
        <v>29</v>
      </c>
      <c r="H211" s="271" t="s">
        <v>631</v>
      </c>
      <c r="I211" s="271">
        <v>22</v>
      </c>
      <c r="J211" s="271" t="s">
        <v>631</v>
      </c>
      <c r="K211" s="271">
        <v>51</v>
      </c>
      <c r="L211" s="271" t="s">
        <v>631</v>
      </c>
      <c r="M211" s="271">
        <v>45</v>
      </c>
      <c r="N211" s="271" t="s">
        <v>631</v>
      </c>
      <c r="O211" s="271">
        <v>45</v>
      </c>
      <c r="P211" s="271" t="s">
        <v>631</v>
      </c>
      <c r="Q211" s="271">
        <v>84</v>
      </c>
      <c r="R211" s="271" t="s">
        <v>631</v>
      </c>
      <c r="S211" s="271">
        <v>67</v>
      </c>
      <c r="T211" s="271" t="s">
        <v>631</v>
      </c>
      <c r="U211" s="271">
        <v>80</v>
      </c>
      <c r="V211" s="271" t="s">
        <v>631</v>
      </c>
      <c r="W211" s="271">
        <v>50</v>
      </c>
      <c r="X211" s="271" t="s">
        <v>631</v>
      </c>
      <c r="Y211" s="271">
        <v>30</v>
      </c>
      <c r="Z211" s="271" t="s">
        <v>631</v>
      </c>
      <c r="AA211" s="271">
        <v>15</v>
      </c>
      <c r="AB211" s="271" t="s">
        <v>631</v>
      </c>
      <c r="AC211" s="282"/>
      <c r="AD211" s="282"/>
    </row>
    <row r="212" spans="1:30" x14ac:dyDescent="0.2">
      <c r="A212" s="263"/>
      <c r="B212" s="273" t="s">
        <v>783</v>
      </c>
      <c r="C212" s="271">
        <v>291246</v>
      </c>
      <c r="D212" s="271">
        <v>14</v>
      </c>
      <c r="E212" s="271" t="s">
        <v>630</v>
      </c>
      <c r="F212" s="271"/>
      <c r="G212" s="271">
        <v>6</v>
      </c>
      <c r="H212" s="271" t="s">
        <v>631</v>
      </c>
      <c r="I212" s="271">
        <v>7</v>
      </c>
      <c r="J212" s="271" t="s">
        <v>784</v>
      </c>
      <c r="K212" s="271">
        <v>16</v>
      </c>
      <c r="L212" s="271" t="s">
        <v>631</v>
      </c>
      <c r="M212" s="271" t="s">
        <v>630</v>
      </c>
      <c r="N212" s="271"/>
      <c r="O212" s="271">
        <v>33</v>
      </c>
      <c r="P212" s="271" t="s">
        <v>784</v>
      </c>
      <c r="Q212" s="271">
        <v>89</v>
      </c>
      <c r="R212" s="271" t="s">
        <v>784</v>
      </c>
      <c r="S212" s="271">
        <v>91</v>
      </c>
      <c r="T212" s="271" t="s">
        <v>784</v>
      </c>
      <c r="U212" s="271">
        <v>96</v>
      </c>
      <c r="V212" s="271" t="s">
        <v>631</v>
      </c>
      <c r="W212" s="271">
        <v>71</v>
      </c>
      <c r="X212" s="271" t="s">
        <v>631</v>
      </c>
      <c r="Y212" s="271" t="s">
        <v>630</v>
      </c>
      <c r="Z212" s="271" t="s">
        <v>631</v>
      </c>
      <c r="AA212" s="271">
        <v>26</v>
      </c>
      <c r="AB212" s="271" t="s">
        <v>784</v>
      </c>
      <c r="AC212" s="282"/>
      <c r="AD212" s="282"/>
    </row>
    <row r="213" spans="1:30" x14ac:dyDescent="0.2">
      <c r="A213" s="263"/>
      <c r="B213" s="273" t="s">
        <v>785</v>
      </c>
      <c r="C213" s="271">
        <v>111311</v>
      </c>
      <c r="D213" s="271">
        <v>18</v>
      </c>
      <c r="E213" s="271">
        <v>3</v>
      </c>
      <c r="F213" s="271" t="s">
        <v>631</v>
      </c>
      <c r="G213" s="271">
        <v>11</v>
      </c>
      <c r="H213" s="271" t="s">
        <v>631</v>
      </c>
      <c r="I213" s="271" t="s">
        <v>630</v>
      </c>
      <c r="J213" s="271" t="s">
        <v>631</v>
      </c>
      <c r="K213" s="271">
        <v>74</v>
      </c>
      <c r="L213" s="271" t="s">
        <v>631</v>
      </c>
      <c r="M213" s="271" t="s">
        <v>630</v>
      </c>
      <c r="N213" s="271" t="s">
        <v>631</v>
      </c>
      <c r="O213" s="271" t="s">
        <v>630</v>
      </c>
      <c r="P213" s="271" t="s">
        <v>631</v>
      </c>
      <c r="Q213" s="271" t="s">
        <v>630</v>
      </c>
      <c r="R213" s="271" t="s">
        <v>631</v>
      </c>
      <c r="S213" s="271" t="s">
        <v>630</v>
      </c>
      <c r="T213" s="271" t="s">
        <v>631</v>
      </c>
      <c r="U213" s="271">
        <v>98</v>
      </c>
      <c r="V213" s="271" t="s">
        <v>631</v>
      </c>
      <c r="W213" s="271">
        <v>76</v>
      </c>
      <c r="X213" s="271" t="s">
        <v>631</v>
      </c>
      <c r="Y213" s="271" t="s">
        <v>630</v>
      </c>
      <c r="Z213" s="271" t="s">
        <v>631</v>
      </c>
      <c r="AA213" s="271" t="s">
        <v>630</v>
      </c>
      <c r="AB213" s="271" t="s">
        <v>631</v>
      </c>
      <c r="AC213" s="282"/>
      <c r="AD213" s="282"/>
    </row>
    <row r="214" spans="1:30" x14ac:dyDescent="0.2">
      <c r="A214" s="263"/>
      <c r="B214" s="273" t="s">
        <v>786</v>
      </c>
      <c r="C214" s="271">
        <v>52054</v>
      </c>
      <c r="D214" s="271">
        <v>13</v>
      </c>
      <c r="E214" s="271" t="s">
        <v>630</v>
      </c>
      <c r="F214" s="271" t="s">
        <v>631</v>
      </c>
      <c r="G214" s="271">
        <v>8</v>
      </c>
      <c r="H214" s="271" t="s">
        <v>631</v>
      </c>
      <c r="I214" s="271" t="s">
        <v>630</v>
      </c>
      <c r="J214" s="271" t="s">
        <v>631</v>
      </c>
      <c r="K214" s="271">
        <v>30</v>
      </c>
      <c r="L214" s="271" t="s">
        <v>631</v>
      </c>
      <c r="M214" s="271" t="s">
        <v>630</v>
      </c>
      <c r="N214" s="271" t="s">
        <v>631</v>
      </c>
      <c r="O214" s="271">
        <v>21</v>
      </c>
      <c r="P214" s="271" t="s">
        <v>631</v>
      </c>
      <c r="Q214" s="271" t="s">
        <v>630</v>
      </c>
      <c r="R214" s="271" t="s">
        <v>631</v>
      </c>
      <c r="S214" s="271" t="s">
        <v>630</v>
      </c>
      <c r="T214" s="271" t="s">
        <v>631</v>
      </c>
      <c r="U214" s="271">
        <v>96</v>
      </c>
      <c r="V214" s="271" t="s">
        <v>631</v>
      </c>
      <c r="W214" s="271">
        <v>90</v>
      </c>
      <c r="X214" s="271" t="s">
        <v>631</v>
      </c>
      <c r="Y214" s="271" t="s">
        <v>630</v>
      </c>
      <c r="Z214" s="271" t="s">
        <v>631</v>
      </c>
      <c r="AA214" s="271" t="s">
        <v>630</v>
      </c>
      <c r="AB214" s="271" t="s">
        <v>631</v>
      </c>
      <c r="AC214" s="282"/>
      <c r="AD214" s="282"/>
    </row>
    <row r="215" spans="1:30" x14ac:dyDescent="0.2">
      <c r="A215" s="263"/>
      <c r="B215" s="273" t="s">
        <v>787</v>
      </c>
      <c r="C215" s="271">
        <v>204418</v>
      </c>
      <c r="D215" s="271">
        <v>23</v>
      </c>
      <c r="E215" s="271">
        <v>3</v>
      </c>
      <c r="F215" s="271" t="s">
        <v>631</v>
      </c>
      <c r="G215" s="271">
        <v>26</v>
      </c>
      <c r="H215" s="271" t="s">
        <v>631</v>
      </c>
      <c r="I215" s="271">
        <v>29</v>
      </c>
      <c r="J215" s="271" t="s">
        <v>631</v>
      </c>
      <c r="K215" s="271">
        <v>119</v>
      </c>
      <c r="L215" s="271" t="s">
        <v>631</v>
      </c>
      <c r="M215" s="271" t="s">
        <v>630</v>
      </c>
      <c r="N215" s="271" t="s">
        <v>631</v>
      </c>
      <c r="O215" s="271">
        <v>52</v>
      </c>
      <c r="P215" s="271" t="s">
        <v>631</v>
      </c>
      <c r="Q215" s="271">
        <v>66</v>
      </c>
      <c r="R215" s="271" t="s">
        <v>631</v>
      </c>
      <c r="S215" s="271">
        <v>59</v>
      </c>
      <c r="T215" s="271" t="s">
        <v>631</v>
      </c>
      <c r="U215" s="271">
        <v>52</v>
      </c>
      <c r="V215" s="271" t="s">
        <v>631</v>
      </c>
      <c r="W215" s="271">
        <v>29</v>
      </c>
      <c r="X215" s="271" t="s">
        <v>631</v>
      </c>
      <c r="Y215" s="271">
        <v>32</v>
      </c>
      <c r="Z215" s="271" t="s">
        <v>631</v>
      </c>
      <c r="AA215" s="271">
        <v>22</v>
      </c>
      <c r="AB215" s="271" t="s">
        <v>631</v>
      </c>
      <c r="AC215" s="282"/>
      <c r="AD215" s="282"/>
    </row>
    <row r="216" spans="1:30" x14ac:dyDescent="0.2">
      <c r="A216" s="263"/>
      <c r="B216" s="273" t="s">
        <v>788</v>
      </c>
      <c r="C216" s="271">
        <v>1184507</v>
      </c>
      <c r="D216" s="271">
        <v>17</v>
      </c>
      <c r="E216" s="271">
        <v>3</v>
      </c>
      <c r="F216" s="284" t="s">
        <v>784</v>
      </c>
      <c r="G216" s="271">
        <v>16</v>
      </c>
      <c r="H216" s="271" t="s">
        <v>631</v>
      </c>
      <c r="I216" s="271">
        <v>20</v>
      </c>
      <c r="J216" s="271" t="s">
        <v>784</v>
      </c>
      <c r="K216" s="271">
        <v>50</v>
      </c>
      <c r="L216" s="271" t="s">
        <v>631</v>
      </c>
      <c r="M216" s="271">
        <v>37</v>
      </c>
      <c r="N216" s="271" t="s">
        <v>784</v>
      </c>
      <c r="O216" s="271">
        <v>36</v>
      </c>
      <c r="P216" s="271" t="s">
        <v>784</v>
      </c>
      <c r="Q216" s="271">
        <v>86</v>
      </c>
      <c r="R216" s="271" t="s">
        <v>784</v>
      </c>
      <c r="S216" s="271">
        <v>81</v>
      </c>
      <c r="T216" s="271" t="s">
        <v>784</v>
      </c>
      <c r="U216" s="271">
        <v>85</v>
      </c>
      <c r="V216" s="271" t="s">
        <v>631</v>
      </c>
      <c r="W216" s="271">
        <v>62</v>
      </c>
      <c r="X216" s="271" t="s">
        <v>631</v>
      </c>
      <c r="Y216" s="271">
        <v>29</v>
      </c>
      <c r="Z216" s="271" t="s">
        <v>784</v>
      </c>
      <c r="AA216" s="271">
        <v>20</v>
      </c>
      <c r="AB216" s="271" t="s">
        <v>784</v>
      </c>
      <c r="AC216" s="282"/>
      <c r="AD216" s="282"/>
    </row>
    <row r="217" spans="1:30" x14ac:dyDescent="0.2">
      <c r="A217" s="263"/>
      <c r="B217" s="285"/>
      <c r="C217" s="263"/>
      <c r="D217" s="263"/>
      <c r="E217" s="275"/>
      <c r="F217" s="275"/>
      <c r="G217" s="275"/>
      <c r="H217" s="275"/>
      <c r="I217" s="275"/>
      <c r="J217" s="275"/>
      <c r="K217" s="275"/>
      <c r="L217" s="275"/>
      <c r="M217" s="275"/>
      <c r="N217" s="275"/>
      <c r="O217" s="275"/>
      <c r="P217" s="275"/>
      <c r="Q217" s="275"/>
      <c r="R217" s="275"/>
      <c r="S217" s="275"/>
      <c r="T217" s="275"/>
      <c r="U217" s="275"/>
      <c r="V217" s="275"/>
      <c r="W217" s="275"/>
      <c r="X217" s="275"/>
      <c r="Y217" s="275"/>
      <c r="Z217" s="275"/>
      <c r="AA217" s="275"/>
      <c r="AB217" s="263"/>
      <c r="AC217" s="263"/>
      <c r="AD217" s="263"/>
    </row>
    <row r="218" spans="1:30" x14ac:dyDescent="0.2">
      <c r="A218" s="265"/>
      <c r="B218" s="273" t="s">
        <v>789</v>
      </c>
      <c r="C218" s="273"/>
      <c r="D218" s="273"/>
      <c r="E218" s="273"/>
      <c r="F218" s="273"/>
      <c r="G218" s="273"/>
      <c r="H218" s="273"/>
      <c r="I218" s="273"/>
      <c r="J218" s="273"/>
      <c r="K218" s="273"/>
      <c r="L218" s="273"/>
      <c r="M218" s="273"/>
      <c r="N218" s="273"/>
      <c r="O218" s="273"/>
      <c r="P218" s="273"/>
      <c r="Q218" s="273"/>
      <c r="R218" s="273"/>
      <c r="S218" s="273"/>
      <c r="T218" s="273"/>
      <c r="U218" s="273"/>
      <c r="V218" s="273"/>
      <c r="W218" s="273"/>
      <c r="X218" s="273"/>
      <c r="Y218" s="273"/>
      <c r="Z218" s="273"/>
      <c r="AA218" s="273"/>
      <c r="AB218" s="273"/>
      <c r="AC218" s="273"/>
      <c r="AD218" s="273"/>
    </row>
    <row r="219" spans="1:30" ht="16" x14ac:dyDescent="0.2">
      <c r="A219" s="265"/>
      <c r="B219" s="270" t="s">
        <v>790</v>
      </c>
      <c r="C219" s="270"/>
      <c r="D219" s="270"/>
      <c r="E219" s="270"/>
      <c r="F219" s="270"/>
      <c r="G219" s="270"/>
      <c r="H219" s="270"/>
      <c r="I219" s="270"/>
      <c r="J219" s="270"/>
      <c r="K219" s="270"/>
      <c r="L219" s="270"/>
      <c r="M219" s="270"/>
      <c r="N219" s="270"/>
      <c r="O219" s="270"/>
      <c r="P219" s="270"/>
      <c r="Q219" s="270"/>
      <c r="R219" s="286"/>
      <c r="S219" s="286"/>
      <c r="T219" s="286"/>
      <c r="U219" s="286"/>
      <c r="V219" s="286"/>
      <c r="W219" s="286"/>
      <c r="X219" s="286"/>
      <c r="Y219" s="286"/>
      <c r="Z219" s="286"/>
      <c r="AA219" s="286"/>
      <c r="AB219" s="265"/>
      <c r="AC219" s="265"/>
      <c r="AD219" s="265"/>
    </row>
    <row r="220" spans="1:30" ht="16" x14ac:dyDescent="0.2">
      <c r="A220" s="265"/>
      <c r="B220" s="270"/>
      <c r="C220" s="286"/>
      <c r="D220" s="286"/>
      <c r="E220" s="286"/>
      <c r="F220" s="286"/>
      <c r="G220" s="286"/>
      <c r="H220" s="286"/>
      <c r="I220" s="287"/>
      <c r="J220" s="287"/>
      <c r="K220" s="287"/>
      <c r="L220" s="287"/>
      <c r="M220" s="287"/>
      <c r="N220" s="286"/>
      <c r="O220" s="286"/>
      <c r="P220" s="286"/>
      <c r="Q220" s="286"/>
      <c r="R220" s="286"/>
      <c r="S220" s="286"/>
      <c r="T220" s="286"/>
      <c r="U220" s="286"/>
      <c r="V220" s="286"/>
      <c r="W220" s="286"/>
      <c r="X220" s="286"/>
      <c r="Y220" s="286"/>
      <c r="Z220" s="286"/>
      <c r="AA220" s="286"/>
      <c r="AB220" s="265"/>
      <c r="AC220" s="265"/>
      <c r="AD220" s="265"/>
    </row>
    <row r="221" spans="1:30" ht="16" x14ac:dyDescent="0.2">
      <c r="A221" s="265"/>
      <c r="B221" s="270" t="s">
        <v>791</v>
      </c>
      <c r="C221" s="286"/>
      <c r="D221" s="286"/>
      <c r="E221" s="286"/>
      <c r="F221" s="286"/>
      <c r="G221" s="286"/>
      <c r="H221" s="286"/>
      <c r="I221" s="287"/>
      <c r="J221" s="287"/>
      <c r="K221" s="287"/>
      <c r="L221" s="287"/>
      <c r="M221" s="287"/>
      <c r="N221" s="286"/>
      <c r="O221" s="286"/>
      <c r="P221" s="286"/>
      <c r="Q221" s="286"/>
      <c r="R221" s="286"/>
      <c r="S221" s="286"/>
      <c r="T221" s="286"/>
      <c r="U221" s="286"/>
      <c r="V221" s="286"/>
      <c r="W221" s="286"/>
      <c r="X221" s="286"/>
      <c r="Y221" s="286"/>
      <c r="Z221" s="286"/>
      <c r="AA221" s="286"/>
      <c r="AB221" s="265"/>
      <c r="AC221" s="265"/>
      <c r="AD221" s="265"/>
    </row>
    <row r="222" spans="1:30" ht="16" x14ac:dyDescent="0.2">
      <c r="A222" s="265"/>
      <c r="B222" s="270" t="s">
        <v>792</v>
      </c>
      <c r="C222" s="286"/>
      <c r="D222" s="286"/>
      <c r="E222" s="286"/>
      <c r="F222" s="286"/>
      <c r="G222" s="286"/>
      <c r="H222" s="286"/>
      <c r="I222" s="287"/>
      <c r="J222" s="287"/>
      <c r="K222" s="287"/>
      <c r="L222" s="287"/>
      <c r="M222" s="287"/>
      <c r="N222" s="286"/>
      <c r="O222" s="286"/>
      <c r="P222" s="286"/>
      <c r="Q222" s="286"/>
      <c r="R222" s="286"/>
      <c r="S222" s="286"/>
      <c r="T222" s="286"/>
      <c r="U222" s="286"/>
      <c r="V222" s="286"/>
      <c r="W222" s="286"/>
      <c r="X222" s="286"/>
      <c r="Y222" s="286"/>
      <c r="Z222" s="286"/>
      <c r="AA222" s="286"/>
      <c r="AB222" s="265"/>
      <c r="AC222" s="265"/>
      <c r="AD222" s="265"/>
    </row>
    <row r="223" spans="1:30" x14ac:dyDescent="0.2">
      <c r="A223" s="265"/>
      <c r="B223" s="270" t="s">
        <v>793</v>
      </c>
      <c r="C223" s="270"/>
      <c r="D223" s="270"/>
      <c r="E223" s="270"/>
      <c r="F223" s="270"/>
      <c r="G223" s="270"/>
      <c r="H223" s="270"/>
      <c r="I223" s="270"/>
      <c r="J223" s="270"/>
      <c r="K223" s="270"/>
      <c r="L223" s="270"/>
      <c r="M223" s="270"/>
      <c r="N223" s="270"/>
      <c r="O223" s="270"/>
      <c r="P223" s="270"/>
      <c r="Q223" s="270"/>
      <c r="R223" s="270"/>
      <c r="S223" s="270"/>
      <c r="T223" s="270"/>
      <c r="U223" s="270"/>
      <c r="V223" s="270"/>
      <c r="W223" s="270"/>
      <c r="X223" s="270"/>
      <c r="Y223" s="270"/>
      <c r="Z223" s="270"/>
      <c r="AA223" s="270"/>
      <c r="AB223" s="270"/>
      <c r="AC223" s="270"/>
      <c r="AD223" s="270"/>
    </row>
    <row r="224" spans="1:30" x14ac:dyDescent="0.2">
      <c r="A224" s="265"/>
      <c r="B224" s="270" t="s">
        <v>794</v>
      </c>
      <c r="C224" s="270"/>
      <c r="D224" s="270"/>
      <c r="E224" s="270"/>
      <c r="F224" s="270"/>
      <c r="G224" s="270"/>
      <c r="H224" s="270"/>
      <c r="I224" s="270"/>
      <c r="J224" s="270"/>
      <c r="K224" s="270"/>
      <c r="L224" s="270"/>
      <c r="M224" s="270"/>
      <c r="N224" s="270"/>
      <c r="O224" s="270"/>
      <c r="P224" s="270"/>
      <c r="Q224" s="270"/>
      <c r="R224" s="270"/>
      <c r="S224" s="270"/>
      <c r="T224" s="270"/>
      <c r="U224" s="270"/>
      <c r="V224" s="270"/>
      <c r="W224" s="270"/>
      <c r="X224" s="270"/>
      <c r="Y224" s="270"/>
      <c r="Z224" s="270"/>
      <c r="AA224" s="270"/>
      <c r="AB224" s="270"/>
      <c r="AC224" s="270"/>
      <c r="AD224" s="270"/>
    </row>
    <row r="225" spans="1:30" ht="16" x14ac:dyDescent="0.2">
      <c r="A225" s="265"/>
      <c r="B225" s="270" t="s">
        <v>795</v>
      </c>
      <c r="C225" s="270"/>
      <c r="D225" s="270"/>
      <c r="E225" s="270"/>
      <c r="F225" s="270"/>
      <c r="G225" s="270"/>
      <c r="H225" s="270"/>
      <c r="I225" s="270"/>
      <c r="J225" s="287"/>
      <c r="K225" s="287"/>
      <c r="L225" s="287"/>
      <c r="M225" s="287"/>
      <c r="N225" s="286"/>
      <c r="O225" s="286"/>
      <c r="P225" s="286"/>
      <c r="Q225" s="286"/>
      <c r="R225" s="286"/>
      <c r="S225" s="286"/>
      <c r="T225" s="286"/>
      <c r="U225" s="286"/>
      <c r="V225" s="286"/>
      <c r="W225" s="286"/>
      <c r="X225" s="286"/>
      <c r="Y225" s="286"/>
      <c r="Z225" s="286"/>
      <c r="AA225" s="286"/>
      <c r="AB225" s="265"/>
      <c r="AC225" s="265"/>
      <c r="AD225" s="265"/>
    </row>
    <row r="226" spans="1:30" ht="16" x14ac:dyDescent="0.2">
      <c r="A226" s="265"/>
      <c r="B226" s="270" t="s">
        <v>796</v>
      </c>
      <c r="C226" s="270"/>
      <c r="D226" s="270"/>
      <c r="E226" s="270"/>
      <c r="F226" s="270"/>
      <c r="G226" s="270"/>
      <c r="H226" s="270"/>
      <c r="I226" s="270"/>
      <c r="J226" s="270"/>
      <c r="K226" s="270"/>
      <c r="L226" s="270"/>
      <c r="M226" s="270"/>
      <c r="N226" s="270"/>
      <c r="O226" s="270"/>
      <c r="P226" s="270"/>
      <c r="Q226" s="286"/>
      <c r="R226" s="286"/>
      <c r="S226" s="286"/>
      <c r="T226" s="286"/>
      <c r="U226" s="286"/>
      <c r="V226" s="286"/>
      <c r="W226" s="286"/>
      <c r="X226" s="286"/>
      <c r="Y226" s="286"/>
      <c r="Z226" s="286"/>
      <c r="AA226" s="286"/>
      <c r="AB226" s="265"/>
      <c r="AC226" s="265"/>
      <c r="AD226" s="265"/>
    </row>
    <row r="227" spans="1:30" ht="16" x14ac:dyDescent="0.2">
      <c r="A227" s="265"/>
      <c r="B227" s="270" t="s">
        <v>797</v>
      </c>
      <c r="C227" s="286"/>
      <c r="D227" s="286"/>
      <c r="E227" s="286"/>
      <c r="F227" s="286"/>
      <c r="G227" s="286"/>
      <c r="H227" s="286"/>
      <c r="I227" s="287"/>
      <c r="J227" s="287"/>
      <c r="K227" s="287"/>
      <c r="L227" s="287"/>
      <c r="M227" s="287"/>
      <c r="N227" s="286"/>
      <c r="O227" s="286"/>
      <c r="P227" s="286"/>
      <c r="Q227" s="286"/>
      <c r="R227" s="286"/>
      <c r="S227" s="286"/>
      <c r="T227" s="286"/>
      <c r="U227" s="286"/>
      <c r="V227" s="286"/>
      <c r="W227" s="286"/>
      <c r="X227" s="286"/>
      <c r="Y227" s="286"/>
      <c r="Z227" s="286"/>
      <c r="AA227" s="286"/>
      <c r="AB227" s="265"/>
      <c r="AC227" s="265"/>
      <c r="AD227" s="265"/>
    </row>
    <row r="228" spans="1:30" x14ac:dyDescent="0.2">
      <c r="A228" s="263"/>
      <c r="B228" s="270"/>
      <c r="C228" s="263"/>
      <c r="D228" s="263"/>
      <c r="E228" s="263"/>
      <c r="F228" s="263"/>
      <c r="G228" s="263"/>
      <c r="H228" s="263"/>
      <c r="I228" s="263"/>
      <c r="J228" s="263"/>
      <c r="K228" s="263"/>
      <c r="L228" s="263"/>
      <c r="M228" s="263"/>
      <c r="N228" s="263"/>
      <c r="O228" s="263"/>
      <c r="P228" s="263"/>
      <c r="Q228" s="263"/>
      <c r="R228" s="263"/>
      <c r="S228" s="263"/>
      <c r="T228" s="263"/>
      <c r="U228" s="263"/>
      <c r="V228" s="263"/>
      <c r="W228" s="263"/>
      <c r="X228" s="263"/>
      <c r="Y228" s="263"/>
      <c r="Z228" s="263"/>
      <c r="AA228" s="263"/>
      <c r="AB228" s="263"/>
      <c r="AC228" s="263"/>
      <c r="AD228" s="263"/>
    </row>
    <row r="229" spans="1:30" x14ac:dyDescent="0.2">
      <c r="A229" s="263"/>
      <c r="B229" s="279" t="s">
        <v>798</v>
      </c>
      <c r="C229" s="279"/>
      <c r="D229" s="265"/>
      <c r="E229" s="265"/>
      <c r="F229" s="265"/>
      <c r="G229" s="265"/>
      <c r="H229" s="265"/>
      <c r="I229" s="265"/>
      <c r="J229" s="265"/>
      <c r="K229" s="265"/>
      <c r="L229" s="265"/>
      <c r="M229" s="265"/>
      <c r="N229" s="265"/>
      <c r="O229" s="265"/>
      <c r="P229" s="265"/>
      <c r="Q229" s="265"/>
      <c r="R229" s="265"/>
      <c r="S229" s="265"/>
      <c r="T229" s="265"/>
      <c r="U229" s="265"/>
      <c r="V229" s="265"/>
      <c r="W229" s="265"/>
      <c r="X229" s="265"/>
      <c r="Y229" s="265"/>
      <c r="Z229" s="265"/>
      <c r="AA229" s="265"/>
      <c r="AB229" s="263"/>
      <c r="AC229" s="263"/>
      <c r="AD229" s="263"/>
    </row>
    <row r="230" spans="1:30" x14ac:dyDescent="0.2">
      <c r="A230" s="263"/>
      <c r="B230" s="288" t="s">
        <v>799</v>
      </c>
      <c r="C230" s="288"/>
      <c r="D230" s="288"/>
      <c r="E230" s="288"/>
      <c r="F230" s="288"/>
      <c r="G230" s="288"/>
      <c r="H230" s="288"/>
      <c r="I230" s="288"/>
      <c r="J230" s="288"/>
      <c r="K230" s="288"/>
      <c r="L230" s="288"/>
      <c r="M230" s="288"/>
      <c r="N230" s="288"/>
      <c r="O230" s="288"/>
      <c r="P230" s="288"/>
      <c r="Q230" s="288"/>
      <c r="R230" s="288"/>
      <c r="S230" s="288"/>
      <c r="T230" s="288"/>
      <c r="U230" s="288"/>
      <c r="V230" s="288"/>
      <c r="W230" s="288"/>
      <c r="X230" s="288"/>
      <c r="Y230" s="288"/>
      <c r="Z230" s="288"/>
      <c r="AA230" s="288"/>
      <c r="AB230" s="288"/>
      <c r="AC230" s="288"/>
      <c r="AD230" s="288"/>
    </row>
    <row r="231" spans="1:30" x14ac:dyDescent="0.2">
      <c r="A231" s="263"/>
      <c r="B231" s="288" t="s">
        <v>800</v>
      </c>
      <c r="C231" s="288"/>
      <c r="D231" s="288"/>
      <c r="E231" s="288"/>
      <c r="F231" s="288"/>
      <c r="G231" s="288"/>
      <c r="H231" s="288"/>
      <c r="I231" s="288"/>
      <c r="J231" s="288"/>
      <c r="K231" s="288"/>
      <c r="L231" s="288"/>
      <c r="M231" s="288"/>
      <c r="N231" s="288"/>
      <c r="O231" s="288"/>
      <c r="P231" s="288"/>
      <c r="Q231" s="288"/>
      <c r="R231" s="288"/>
      <c r="S231" s="288"/>
      <c r="T231" s="288"/>
      <c r="U231" s="288"/>
      <c r="V231" s="288"/>
      <c r="W231" s="288"/>
      <c r="X231" s="288"/>
      <c r="Y231" s="288"/>
      <c r="Z231" s="288"/>
      <c r="AA231" s="288"/>
      <c r="AB231" s="288"/>
      <c r="AC231" s="288"/>
      <c r="AD231" s="288"/>
    </row>
    <row r="232" spans="1:30" x14ac:dyDescent="0.2">
      <c r="A232" s="263"/>
      <c r="B232" s="288" t="s">
        <v>801</v>
      </c>
      <c r="C232" s="288"/>
      <c r="D232" s="288"/>
      <c r="E232" s="288"/>
      <c r="F232" s="288"/>
      <c r="G232" s="288"/>
      <c r="H232" s="288"/>
      <c r="I232" s="288"/>
      <c r="J232" s="288"/>
      <c r="K232" s="288"/>
      <c r="L232" s="263"/>
      <c r="M232" s="263"/>
      <c r="N232" s="263"/>
      <c r="O232" s="263"/>
      <c r="P232" s="263"/>
      <c r="Q232" s="263"/>
      <c r="R232" s="263"/>
      <c r="S232" s="263"/>
      <c r="T232" s="263"/>
      <c r="U232" s="263"/>
      <c r="V232" s="263"/>
      <c r="W232" s="263"/>
      <c r="X232" s="263"/>
      <c r="Y232" s="263"/>
      <c r="Z232" s="263"/>
      <c r="AA232" s="263"/>
      <c r="AB232" s="263"/>
      <c r="AC232" s="263"/>
      <c r="AD232" s="263"/>
    </row>
    <row r="233" spans="1:30" x14ac:dyDescent="0.2">
      <c r="A233" s="263"/>
      <c r="B233" s="288" t="s">
        <v>802</v>
      </c>
      <c r="C233" s="288"/>
      <c r="D233" s="288"/>
      <c r="E233" s="288"/>
      <c r="F233" s="288"/>
      <c r="G233" s="288"/>
      <c r="H233" s="288"/>
      <c r="I233" s="288"/>
      <c r="J233" s="288"/>
      <c r="K233" s="288"/>
      <c r="L233" s="288"/>
      <c r="M233" s="288"/>
      <c r="N233" s="288"/>
      <c r="O233" s="288"/>
      <c r="P233" s="288"/>
      <c r="Q233" s="288"/>
      <c r="R233" s="288"/>
      <c r="S233" s="288"/>
      <c r="T233" s="288"/>
      <c r="U233" s="288"/>
      <c r="V233" s="288"/>
      <c r="W233" s="288"/>
      <c r="X233" s="288"/>
      <c r="Y233" s="288"/>
      <c r="Z233" s="288"/>
      <c r="AA233" s="288"/>
      <c r="AB233" s="288"/>
      <c r="AC233" s="288"/>
      <c r="AD233" s="288"/>
    </row>
    <row r="234" spans="1:30" x14ac:dyDescent="0.2">
      <c r="A234" s="263"/>
      <c r="B234" s="288" t="s">
        <v>803</v>
      </c>
      <c r="C234" s="288"/>
      <c r="D234" s="288"/>
      <c r="E234" s="288"/>
      <c r="F234" s="288"/>
      <c r="G234" s="288"/>
      <c r="H234" s="288"/>
      <c r="I234" s="288"/>
      <c r="J234" s="288"/>
      <c r="K234" s="288"/>
      <c r="L234" s="288"/>
      <c r="M234" s="288"/>
      <c r="N234" s="288"/>
      <c r="O234" s="288"/>
      <c r="P234" s="288"/>
      <c r="Q234" s="288"/>
      <c r="R234" s="288"/>
      <c r="S234" s="288"/>
      <c r="T234" s="288"/>
      <c r="U234" s="288"/>
      <c r="V234" s="288"/>
      <c r="W234" s="288"/>
      <c r="X234" s="288"/>
      <c r="Y234" s="288"/>
      <c r="Z234" s="288"/>
      <c r="AA234" s="288"/>
      <c r="AB234" s="288"/>
      <c r="AC234" s="288"/>
      <c r="AD234" s="288"/>
    </row>
    <row r="235" spans="1:30" x14ac:dyDescent="0.2">
      <c r="A235" s="263"/>
      <c r="B235" s="288" t="s">
        <v>804</v>
      </c>
      <c r="C235" s="288"/>
      <c r="D235" s="288"/>
      <c r="E235" s="288"/>
      <c r="F235" s="288"/>
      <c r="G235" s="288"/>
      <c r="H235" s="288"/>
      <c r="I235" s="288"/>
      <c r="J235" s="288"/>
      <c r="K235" s="288"/>
      <c r="L235" s="288"/>
      <c r="M235" s="288"/>
      <c r="N235" s="288"/>
      <c r="O235" s="288"/>
      <c r="P235" s="288"/>
      <c r="Q235" s="288"/>
      <c r="R235" s="288"/>
      <c r="S235" s="288"/>
      <c r="T235" s="288"/>
      <c r="U235" s="288"/>
      <c r="V235" s="288"/>
      <c r="W235" s="288"/>
      <c r="X235" s="288"/>
      <c r="Y235" s="288"/>
      <c r="Z235" s="288"/>
      <c r="AA235" s="288"/>
      <c r="AB235" s="288"/>
      <c r="AC235" s="288"/>
      <c r="AD235" s="288"/>
    </row>
    <row r="236" spans="1:30" x14ac:dyDescent="0.2">
      <c r="A236" s="263"/>
      <c r="B236" s="288" t="s">
        <v>805</v>
      </c>
      <c r="C236" s="288"/>
      <c r="D236" s="288"/>
      <c r="E236" s="288"/>
      <c r="F236" s="288"/>
      <c r="G236" s="288"/>
      <c r="H236" s="288"/>
      <c r="I236" s="288"/>
      <c r="J236" s="288"/>
      <c r="K236" s="288"/>
      <c r="L236" s="288"/>
      <c r="M236" s="288"/>
      <c r="N236" s="288"/>
      <c r="O236" s="288"/>
      <c r="P236" s="288"/>
      <c r="Q236" s="288"/>
      <c r="R236" s="288"/>
      <c r="S236" s="288"/>
      <c r="T236" s="288"/>
      <c r="U236" s="288"/>
      <c r="V236" s="288"/>
      <c r="W236" s="288"/>
      <c r="X236" s="288"/>
      <c r="Y236" s="288"/>
      <c r="Z236" s="288"/>
      <c r="AA236" s="288"/>
      <c r="AB236" s="288"/>
      <c r="AC236" s="288"/>
      <c r="AD236" s="288"/>
    </row>
    <row r="237" spans="1:30" x14ac:dyDescent="0.2">
      <c r="A237" s="263"/>
      <c r="B237" s="313" t="s">
        <v>806</v>
      </c>
      <c r="C237" s="313"/>
      <c r="D237" s="313"/>
      <c r="E237" s="313"/>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263"/>
      <c r="AC237" s="263"/>
      <c r="AD237" s="263"/>
    </row>
    <row r="238" spans="1:30" x14ac:dyDescent="0.2">
      <c r="A238" s="263"/>
      <c r="B238" s="270"/>
      <c r="C238" s="270"/>
      <c r="D238" s="270"/>
      <c r="E238" s="263"/>
      <c r="F238" s="263"/>
      <c r="G238" s="263"/>
      <c r="H238" s="263"/>
      <c r="I238" s="263"/>
      <c r="J238" s="263"/>
      <c r="K238" s="263"/>
      <c r="L238" s="263"/>
      <c r="M238" s="263"/>
      <c r="N238" s="263"/>
      <c r="O238" s="263"/>
      <c r="P238" s="263"/>
      <c r="Q238" s="263"/>
      <c r="R238" s="263"/>
      <c r="S238" s="263"/>
      <c r="T238" s="263"/>
      <c r="U238" s="263"/>
      <c r="V238" s="263"/>
      <c r="W238" s="263"/>
      <c r="X238" s="263"/>
      <c r="Y238" s="263"/>
      <c r="Z238" s="263"/>
      <c r="AA238" s="263"/>
      <c r="AB238" s="263"/>
      <c r="AC238" s="263"/>
      <c r="AD238" s="263"/>
    </row>
    <row r="239" spans="1:30" x14ac:dyDescent="0.2">
      <c r="A239" s="263"/>
      <c r="B239" s="279" t="s">
        <v>807</v>
      </c>
      <c r="C239" s="270"/>
      <c r="D239" s="270"/>
      <c r="E239" s="263"/>
      <c r="F239" s="263"/>
      <c r="G239" s="263"/>
      <c r="H239" s="263"/>
      <c r="I239" s="263"/>
      <c r="J239" s="263"/>
      <c r="K239" s="263"/>
      <c r="L239" s="263"/>
      <c r="M239" s="263"/>
      <c r="N239" s="263"/>
      <c r="O239" s="263"/>
      <c r="P239" s="263"/>
      <c r="Q239" s="263"/>
      <c r="R239" s="263"/>
      <c r="S239" s="263"/>
      <c r="T239" s="263"/>
      <c r="U239" s="263"/>
      <c r="V239" s="263"/>
      <c r="W239" s="263"/>
      <c r="X239" s="263"/>
      <c r="Y239" s="263"/>
      <c r="Z239" s="263"/>
      <c r="AA239" s="263"/>
      <c r="AB239" s="263"/>
      <c r="AC239" s="263"/>
      <c r="AD239" s="263"/>
    </row>
    <row r="240" spans="1:30" x14ac:dyDescent="0.2">
      <c r="A240" s="263"/>
      <c r="B240" s="288" t="s">
        <v>808</v>
      </c>
      <c r="C240" s="288"/>
      <c r="D240" s="288"/>
      <c r="E240" s="288"/>
      <c r="F240" s="288"/>
      <c r="G240" s="288"/>
      <c r="H240" s="263"/>
      <c r="I240" s="263"/>
      <c r="J240" s="263"/>
      <c r="K240" s="263"/>
      <c r="L240" s="263"/>
      <c r="M240" s="263"/>
      <c r="N240" s="263"/>
      <c r="O240" s="263"/>
      <c r="P240" s="263"/>
      <c r="Q240" s="263"/>
      <c r="R240" s="263"/>
      <c r="S240" s="263"/>
      <c r="T240" s="263"/>
      <c r="U240" s="263"/>
      <c r="V240" s="263"/>
      <c r="W240" s="263"/>
      <c r="X240" s="263"/>
      <c r="Y240" s="263"/>
      <c r="Z240" s="263"/>
      <c r="AA240" s="263"/>
      <c r="AB240" s="263"/>
      <c r="AC240" s="263"/>
      <c r="AD240" s="263"/>
    </row>
    <row r="241" spans="1:30" x14ac:dyDescent="0.2">
      <c r="A241" s="263"/>
      <c r="B241" s="288" t="s">
        <v>809</v>
      </c>
      <c r="C241" s="288"/>
      <c r="D241" s="288"/>
      <c r="E241" s="288"/>
      <c r="F241" s="288"/>
      <c r="G241" s="288"/>
      <c r="H241" s="288"/>
      <c r="I241" s="288"/>
      <c r="J241" s="288"/>
      <c r="K241" s="288"/>
      <c r="L241" s="288"/>
      <c r="M241" s="288"/>
      <c r="N241" s="288"/>
      <c r="O241" s="288"/>
      <c r="P241" s="288"/>
      <c r="Q241" s="288"/>
      <c r="R241" s="288"/>
      <c r="S241" s="288"/>
      <c r="T241" s="288"/>
      <c r="U241" s="288"/>
      <c r="V241" s="288"/>
      <c r="W241" s="288"/>
      <c r="X241" s="288"/>
      <c r="Y241" s="288"/>
      <c r="Z241" s="288"/>
      <c r="AA241" s="288"/>
      <c r="AB241" s="288"/>
      <c r="AC241" s="288"/>
      <c r="AD241" s="263"/>
    </row>
    <row r="242" spans="1:30" x14ac:dyDescent="0.2">
      <c r="A242" s="263"/>
      <c r="B242" s="263" t="s">
        <v>810</v>
      </c>
      <c r="C242" s="263"/>
      <c r="D242" s="270"/>
      <c r="E242" s="263"/>
      <c r="F242" s="263"/>
      <c r="G242" s="263"/>
      <c r="H242" s="263"/>
      <c r="I242" s="263"/>
      <c r="J242" s="263"/>
      <c r="K242" s="263"/>
      <c r="L242" s="263"/>
      <c r="M242" s="263"/>
      <c r="N242" s="263"/>
      <c r="O242" s="263"/>
      <c r="P242" s="263"/>
      <c r="Q242" s="263"/>
      <c r="R242" s="263"/>
      <c r="S242" s="263"/>
      <c r="T242" s="263"/>
      <c r="U242" s="263"/>
      <c r="V242" s="263"/>
      <c r="W242" s="263"/>
      <c r="X242" s="263"/>
      <c r="Y242" s="263"/>
      <c r="Z242" s="263"/>
      <c r="AA242" s="263"/>
      <c r="AB242" s="263"/>
      <c r="AC242" s="263"/>
      <c r="AD242" s="263"/>
    </row>
    <row r="243" spans="1:30" x14ac:dyDescent="0.2">
      <c r="A243" s="263"/>
      <c r="B243" s="263" t="s">
        <v>811</v>
      </c>
      <c r="C243" s="263"/>
      <c r="D243" s="263"/>
      <c r="E243" s="263"/>
      <c r="F243" s="263"/>
      <c r="G243" s="263"/>
      <c r="H243" s="263"/>
      <c r="I243" s="263"/>
      <c r="J243" s="263"/>
      <c r="K243" s="263"/>
      <c r="L243" s="263"/>
      <c r="M243" s="263"/>
      <c r="N243" s="263"/>
      <c r="O243" s="263"/>
      <c r="P243" s="263"/>
      <c r="Q243" s="263"/>
      <c r="R243" s="263"/>
      <c r="S243" s="263"/>
      <c r="T243" s="263"/>
      <c r="U243" s="263"/>
      <c r="V243" s="263"/>
      <c r="W243" s="263"/>
      <c r="X243" s="263"/>
      <c r="Y243" s="263"/>
      <c r="Z243" s="263"/>
      <c r="AA243" s="263"/>
      <c r="AB243" s="263"/>
      <c r="AC243" s="263"/>
      <c r="AD243" s="263"/>
    </row>
    <row r="244" spans="1:30" x14ac:dyDescent="0.2">
      <c r="A244" s="263"/>
      <c r="B244" s="288" t="s">
        <v>812</v>
      </c>
      <c r="C244" s="288"/>
      <c r="D244" s="288"/>
      <c r="E244" s="288"/>
      <c r="F244" s="288"/>
      <c r="G244" s="288"/>
      <c r="H244" s="288"/>
      <c r="I244" s="288"/>
      <c r="J244" s="288"/>
      <c r="K244" s="288"/>
      <c r="L244" s="288"/>
      <c r="M244" s="288"/>
      <c r="N244" s="288"/>
      <c r="O244" s="263"/>
      <c r="P244" s="263"/>
      <c r="Q244" s="263"/>
      <c r="R244" s="263"/>
      <c r="S244" s="263"/>
      <c r="T244" s="263"/>
      <c r="U244" s="263"/>
      <c r="V244" s="263"/>
      <c r="W244" s="263"/>
      <c r="X244" s="263"/>
      <c r="Y244" s="263"/>
      <c r="Z244" s="263"/>
      <c r="AA244" s="263"/>
      <c r="AB244" s="263"/>
      <c r="AC244" s="263"/>
      <c r="AD244" s="263"/>
    </row>
    <row r="245" spans="1:30" x14ac:dyDescent="0.2">
      <c r="A245" s="263"/>
      <c r="B245" s="288" t="s">
        <v>813</v>
      </c>
      <c r="C245" s="288"/>
      <c r="D245" s="288"/>
      <c r="E245" s="288"/>
      <c r="F245" s="288"/>
      <c r="G245" s="288"/>
      <c r="H245" s="288"/>
      <c r="I245" s="288"/>
      <c r="J245" s="288"/>
      <c r="K245" s="288"/>
      <c r="L245" s="288"/>
      <c r="M245" s="288"/>
      <c r="N245" s="288"/>
      <c r="O245" s="288"/>
      <c r="P245" s="288"/>
      <c r="Q245" s="288"/>
      <c r="R245" s="288"/>
      <c r="S245" s="288"/>
      <c r="T245" s="288"/>
      <c r="U245" s="288"/>
      <c r="V245" s="263"/>
      <c r="W245" s="263"/>
      <c r="X245" s="263"/>
      <c r="Y245" s="263"/>
      <c r="Z245" s="263"/>
      <c r="AA245" s="263"/>
      <c r="AB245" s="263"/>
      <c r="AC245" s="263"/>
      <c r="AD245" s="263"/>
    </row>
    <row r="246" spans="1:30" x14ac:dyDescent="0.2">
      <c r="A246" s="263"/>
      <c r="B246" s="288" t="s">
        <v>814</v>
      </c>
      <c r="C246" s="288"/>
      <c r="D246" s="288"/>
      <c r="E246" s="288"/>
      <c r="F246" s="288"/>
      <c r="G246" s="288"/>
      <c r="H246" s="263"/>
      <c r="I246" s="263"/>
      <c r="J246" s="263"/>
      <c r="K246" s="263"/>
      <c r="L246" s="263"/>
      <c r="M246" s="263"/>
      <c r="N246" s="263"/>
      <c r="O246" s="263"/>
      <c r="P246" s="263"/>
      <c r="Q246" s="263"/>
      <c r="R246" s="263"/>
      <c r="S246" s="263"/>
      <c r="T246" s="263"/>
      <c r="U246" s="263"/>
      <c r="V246" s="263"/>
      <c r="W246" s="263"/>
      <c r="X246" s="263"/>
      <c r="Y246" s="263"/>
      <c r="Z246" s="263"/>
      <c r="AA246" s="263"/>
      <c r="AB246" s="263"/>
      <c r="AC246" s="263"/>
      <c r="AD246" s="263"/>
    </row>
    <row r="247" spans="1:30" x14ac:dyDescent="0.2">
      <c r="A247" s="263"/>
      <c r="B247" s="270" t="s">
        <v>815</v>
      </c>
      <c r="C247" s="270"/>
      <c r="D247" s="270"/>
      <c r="E247" s="270"/>
      <c r="F247" s="270"/>
      <c r="G247" s="270"/>
      <c r="H247" s="270"/>
      <c r="I247" s="270"/>
      <c r="J247" s="270"/>
      <c r="K247" s="270"/>
      <c r="L247" s="270"/>
      <c r="M247" s="270"/>
      <c r="N247" s="270"/>
      <c r="O247" s="270"/>
      <c r="P247" s="270"/>
      <c r="Q247" s="270"/>
      <c r="R247" s="270"/>
      <c r="S247" s="270"/>
      <c r="T247" s="270"/>
      <c r="U247" s="270"/>
      <c r="V247" s="270"/>
      <c r="W247" s="270"/>
      <c r="X247" s="270"/>
      <c r="Y247" s="270"/>
      <c r="Z247" s="270"/>
      <c r="AA247" s="270"/>
      <c r="AB247" s="270"/>
      <c r="AC247" s="270"/>
      <c r="AD247" s="270"/>
    </row>
  </sheetData>
  <mergeCells count="26">
    <mergeCell ref="U6:X6"/>
    <mergeCell ref="Y6:Z6"/>
    <mergeCell ref="AA6:AB6"/>
    <mergeCell ref="B237:AA237"/>
    <mergeCell ref="Y4:AB4"/>
    <mergeCell ref="Y5:AB5"/>
    <mergeCell ref="E6:F6"/>
    <mergeCell ref="G6:H6"/>
    <mergeCell ref="I6:J6"/>
    <mergeCell ref="K6:L6"/>
    <mergeCell ref="M6:N6"/>
    <mergeCell ref="O6:P6"/>
    <mergeCell ref="Q6:R6"/>
    <mergeCell ref="S6:T6"/>
    <mergeCell ref="M4:P4"/>
    <mergeCell ref="M5:P5"/>
    <mergeCell ref="Q4:T4"/>
    <mergeCell ref="Q5:T5"/>
    <mergeCell ref="U4:V5"/>
    <mergeCell ref="W4:X5"/>
    <mergeCell ref="B4:B6"/>
    <mergeCell ref="C4:D4"/>
    <mergeCell ref="E4:H4"/>
    <mergeCell ref="E5:H5"/>
    <mergeCell ref="I4:J5"/>
    <mergeCell ref="K4:L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47</vt:i4>
      </vt:variant>
    </vt:vector>
  </HeadingPairs>
  <TitlesOfParts>
    <vt:vector size="47" baseType="lpstr">
      <vt:lpstr>Figure 1</vt:lpstr>
      <vt:lpstr>Figure 2</vt:lpstr>
      <vt:lpstr>DataFig3Macro</vt:lpstr>
      <vt:lpstr>Figure3</vt:lpstr>
      <vt:lpstr>Figure4</vt:lpstr>
      <vt:lpstr>Figure5</vt:lpstr>
      <vt:lpstr>Figure6</vt:lpstr>
      <vt:lpstr>Figure7</vt:lpstr>
      <vt:lpstr>Figure8</vt:lpstr>
      <vt:lpstr>Figure9</vt:lpstr>
      <vt:lpstr>Figure10</vt:lpstr>
      <vt:lpstr>Figure11</vt:lpstr>
      <vt:lpstr>Figure12</vt:lpstr>
      <vt:lpstr>Figure13</vt:lpstr>
      <vt:lpstr>Figure14</vt:lpstr>
      <vt:lpstr>Figure15</vt:lpstr>
      <vt:lpstr>Figure16a16b</vt:lpstr>
      <vt:lpstr>Figure17a17b</vt:lpstr>
      <vt:lpstr>Figure18</vt:lpstr>
      <vt:lpstr>Figure19</vt:lpstr>
      <vt:lpstr>Figure 20</vt:lpstr>
      <vt:lpstr>DataFig21Macro</vt:lpstr>
      <vt:lpstr>Figure21</vt:lpstr>
      <vt:lpstr>Figure22</vt:lpstr>
      <vt:lpstr>Figure23</vt:lpstr>
      <vt:lpstr>Figure24</vt:lpstr>
      <vt:lpstr>Figure25</vt:lpstr>
      <vt:lpstr>Figure26</vt:lpstr>
      <vt:lpstr>Figure27a</vt:lpstr>
      <vt:lpstr>Figure27b</vt:lpstr>
      <vt:lpstr>Figure27c</vt:lpstr>
      <vt:lpstr>Figure28</vt:lpstr>
      <vt:lpstr>Figure29</vt:lpstr>
      <vt:lpstr>DataFig30Macro</vt:lpstr>
      <vt:lpstr>Figure30</vt:lpstr>
      <vt:lpstr>Figure31a</vt:lpstr>
      <vt:lpstr>Figure31b</vt:lpstr>
      <vt:lpstr>Figure32</vt:lpstr>
      <vt:lpstr>Figure33</vt:lpstr>
      <vt:lpstr>Figure34</vt:lpstr>
      <vt:lpstr>Figure35</vt:lpstr>
      <vt:lpstr>Figure36</vt:lpstr>
      <vt:lpstr>Figure37</vt:lpstr>
      <vt:lpstr>Figure38</vt:lpstr>
      <vt:lpstr>Annex5.1Table 5.1.1</vt:lpstr>
      <vt:lpstr>Annex5.2 Fig 5.2.1</vt:lpstr>
      <vt:lpstr>UNICEF_SOWC_2015_ado</vt:lpstr>
    </vt:vector>
  </TitlesOfParts>
  <Company>WHO</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Leander-Pehrson, Ida</dc:creator>
  <cp:lastModifiedBy>Microsoft Office User</cp:lastModifiedBy>
  <cp:lastPrinted>2015-04-24T09:18:18Z</cp:lastPrinted>
  <dcterms:created xsi:type="dcterms:W3CDTF">2015-04-23T13:37:37Z</dcterms:created>
  <dcterms:modified xsi:type="dcterms:W3CDTF">2015-08-12T08:49:56Z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